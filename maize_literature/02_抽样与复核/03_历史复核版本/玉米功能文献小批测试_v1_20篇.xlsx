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fb1605b08d4171" /></Relationships>
</file>

<file path=xl/workbook.xml><?xml version="1.0" encoding="utf-8"?>
<x:workbook xmlns:x="http://schemas.openxmlformats.org/spreadsheetml/2006/main">
  <x:sheets>
    <x:sheet xmlns:r="http://schemas.openxmlformats.org/officeDocument/2006/relationships" name="说明与汇总" sheetId="1" r:id="Rfe2a74d129194c89"/>
    <x:sheet xmlns:r="http://schemas.openxmlformats.org/officeDocument/2006/relationships" name="人工复核" sheetId="2" r:id="R3953bd8ff9c54093"/>
    <x:sheet xmlns:r="http://schemas.openxmlformats.org/officeDocument/2006/relationships" name="自动对照" sheetId="3" r:id="R8d9003ba56e2447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1F2937"/>
      <x:name val="Arial"/>
    </x:font>
    <x:font>
      <x:i/>
      <x:sz val="10"/>
      <x:color rgb="FF5F6B7A"/>
      <x:name val="Arial"/>
    </x:font>
    <x:font>
      <x:b/>
      <x:sz val="10"/>
      <x:color rgb="FFFFFFFF"/>
      <x:name val="Arial"/>
    </x:font>
    <x:font>
      <x:sz val="10"/>
      <x:color rgb="FF1F2937"/>
      <x:name val="Arial"/>
    </x:font>
    <x:font>
      <x:b/>
      <x:sz val="10"/>
      <x:color rgb="FF1F2937"/>
      <x:name val="Arial"/>
    </x:font>
    <x:font>
      <x:i/>
      <x:sz val="9"/>
      <x:color rgb="FF5F6B7A"/>
      <x:name val="Arial"/>
    </x:font>
    <x:font>
      <x:sz val="11"/>
      <x:name val="Arial"/>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3F6F9"/>
      </x:patternFill>
    </x:fill>
  </x:fills>
  <x:borders count="15">
    <x:border>
      <x:left/>
      <x:right/>
      <x:top/>
      <x:bottom/>
      <x:diagonal/>
    </x:border>
    <x:border>
      <x:left/>
      <x:right style="thin">
        <x:color rgb="FFFFFFFF"/>
      </x:right>
      <x:top/>
      <x:bottom/>
      <x:diagonal/>
    </x:border>
    <x:border>
      <x:left style="thin">
        <x:color rgb="FFFFFFFF"/>
      </x:left>
      <x:right/>
      <x:top/>
      <x:bottom/>
      <x:diagonal/>
    </x:border>
    <x:border>
      <x:left/>
      <x:right style="thin">
        <x:color rgb="FFC9D2DC"/>
      </x:right>
      <x:top/>
      <x:bottom style="thin">
        <x:color rgb="FFC9D2DC"/>
      </x:bottom>
      <x:diagonal/>
    </x:border>
    <x:border>
      <x:left style="thin">
        <x:color rgb="FFC9D2DC"/>
      </x:left>
      <x:right/>
      <x:top/>
      <x:bottom style="thin">
        <x:color rgb="FFC9D2DC"/>
      </x:bottom>
      <x:diagonal/>
    </x:border>
    <x:border>
      <x:left/>
      <x:right style="thin">
        <x:color rgb="FFC9D2DC"/>
      </x:right>
      <x:top style="thin">
        <x:color rgb="FFC9D2DC"/>
      </x:top>
      <x:bottom style="thin">
        <x:color rgb="FFC9D2DC"/>
      </x:bottom>
      <x:diagonal/>
    </x:border>
    <x:border>
      <x:left style="thin">
        <x:color rgb="FFC9D2DC"/>
      </x:left>
      <x:right/>
      <x:top style="thin">
        <x:color rgb="FFC9D2DC"/>
      </x:top>
      <x:bottom style="thin">
        <x:color rgb="FFC9D2DC"/>
      </x:bottom>
      <x:diagonal/>
    </x:border>
    <x:border>
      <x:left/>
      <x:right style="thin">
        <x:color rgb="FFC9D2DC"/>
      </x:right>
      <x:top style="thin">
        <x:color rgb="FFC9D2DC"/>
      </x:top>
      <x:bottom/>
      <x:diagonal/>
    </x:border>
    <x:border>
      <x:left style="thin">
        <x:color rgb="FFC9D2DC"/>
      </x:left>
      <x:right/>
      <x:top style="thin">
        <x:color rgb="FFC9D2DC"/>
      </x:top>
      <x:bottom/>
      <x:diagonal/>
    </x:border>
    <x:border>
      <x:left style="thin">
        <x:color rgb="FFFFFFFF"/>
      </x:left>
      <x:right style="thin">
        <x:color rgb="FFFFFFFF"/>
      </x:right>
      <x:top/>
      <x:bottom/>
      <x:diagonal/>
    </x:border>
    <x:border>
      <x:left style="thin">
        <x:color rgb="FFC9D2DC"/>
      </x:left>
      <x:right style="thin">
        <x:color rgb="FFC9D2DC"/>
      </x:right>
      <x:top/>
      <x:bottom style="thin">
        <x:color rgb="FFC9D2DC"/>
      </x:bottom>
      <x:diagonal/>
    </x:border>
    <x:border>
      <x:left style="thin">
        <x:color rgb="FFC9D2DC"/>
      </x:left>
      <x:right style="thin">
        <x:color rgb="FFC9D2DC"/>
      </x:right>
      <x:top style="thin">
        <x:color rgb="FFC9D2DC"/>
      </x:top>
      <x:bottom style="thin">
        <x:color rgb="FFC9D2DC"/>
      </x:bottom>
      <x:diagonal/>
    </x:border>
    <x:border>
      <x:left style="thin">
        <x:color rgb="FFC9D2DC"/>
      </x:left>
      <x:right style="thin">
        <x:color rgb="FFC9D2DC"/>
      </x:right>
      <x:top style="thin">
        <x:color rgb="FFC9D2DC"/>
      </x:top>
      <x:bottom/>
      <x:diagonal/>
    </x:border>
    <x:border>
      <x:left/>
      <x:right/>
      <x:top/>
      <x:bottom style="thin">
        <x:color rgb="FFC9D2DC"/>
      </x:bottom>
      <x:diagonal/>
    </x:border>
    <x:border>
      <x:left/>
      <x:right/>
      <x:top style="thin">
        <x:color rgb="FFC9D2DC"/>
      </x:top>
      <x:bottom style="thin">
        <x:color rgb="FFC9D2DC"/>
      </x:bottom>
      <x:diagonal/>
    </x:border>
  </x:borders>
  <x:cellStyleXfs count="1">
    <x:xf numFmtId="0" fontId="0" fillId="0" borderId="0"/>
  </x:cellStyleXfs>
  <x:cellXfs count="70">
    <x:xf numFmtId="0" fontId="0" fillId="0" borderId="0" xfId="0"/>
    <x:xf numFmtId="0" fontId="1" fillId="0" borderId="0" xfId="0" applyNumberFormat="1" applyFont="1" applyFill="1" applyBorder="1"/>
    <x:xf numFmtId="0" fontId="0" fillId="2" borderId="0" xfId="0" applyNumberFormat="1" applyFont="1" applyFill="1" applyBorder="1"/>
    <x:xf numFmtId="0" fontId="2" fillId="0"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4" fillId="0" borderId="7" xfId="0" applyNumberFormat="1" applyFont="1" applyFill="1" applyBorder="1" applyAlignment="1">
      <x:alignment vertical="center"/>
    </x:xf>
    <x:xf numFmtId="0" fontId="4" fillId="0" borderId="8" xfId="0" applyNumberFormat="1" applyFont="1" applyFill="1" applyBorder="1" applyAlignment="1">
      <x:alignment vertical="center"/>
    </x:xf>
    <x:xf numFmtId="0" fontId="4" fillId="0" borderId="4" xfId="0" applyNumberFormat="1" applyFont="1" applyFill="1" applyBorder="1" applyAlignment="1">
      <x:alignment horizontal="right" vertical="center"/>
    </x:xf>
    <x:xf numFmtId="0" fontId="4" fillId="0" borderId="6" xfId="0" applyNumberFormat="1" applyFont="1" applyFill="1" applyBorder="1" applyAlignment="1">
      <x:alignment horizontal="right" vertical="center"/>
    </x:xf>
    <x:xf numFmtId="0" fontId="4" fillId="0" borderId="8" xfId="0" applyNumberFormat="1" applyFont="1" applyFill="1" applyBorder="1" applyAlignment="1">
      <x:alignment horizontal="right" vertical="center"/>
    </x:xf>
    <x:xf numFmtId="0" fontId="4" fillId="3" borderId="8" xfId="0" applyNumberFormat="1" applyFont="1" applyFill="1" applyBorder="1" applyAlignment="1">
      <x:alignment horizontal="right" vertical="center"/>
    </x:xf>
    <x:xf numFmtId="0" fontId="5" fillId="3" borderId="8" xfId="0" applyNumberFormat="1" applyFont="1" applyFill="1" applyBorder="1" applyAlignment="1">
      <x:alignment horizontal="right" vertical="center"/>
    </x:xf>
    <x:xf numFmtId="0" fontId="3" fillId="2" borderId="9" xfId="0" applyNumberFormat="1" applyFont="1" applyFill="1" applyBorder="1"/>
    <x:xf numFmtId="0" fontId="3" fillId="2" borderId="9" xfId="0" applyNumberFormat="1" applyFont="1" applyFill="1" applyBorder="1" applyAlignment="1">
      <x:alignment wrapText="1"/>
    </x:xf>
    <x:xf numFmtId="0" fontId="3" fillId="2" borderId="9" xfId="0" applyNumberFormat="1" applyFont="1" applyFill="1" applyBorder="1" applyAlignment="1">
      <x:alignment horizontal="center" wrapText="1"/>
    </x:xf>
    <x:xf numFmtId="0" fontId="3" fillId="2" borderId="9"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0" xfId="0" applyNumberFormat="1" applyFont="1" applyFill="1" applyBorder="1" applyAlignment="1">
      <x:alignment vertical="center"/>
    </x:xf>
    <x:xf numFmtId="0" fontId="4" fillId="0" borderId="11" xfId="0" applyNumberFormat="1" applyFont="1" applyFill="1" applyBorder="1" applyAlignment="1">
      <x:alignment vertical="center"/>
    </x:xf>
    <x:xf numFmtId="0" fontId="4" fillId="0" borderId="12" xfId="0" applyNumberFormat="1" applyFont="1" applyFill="1" applyBorder="1" applyAlignment="1">
      <x:alignment vertical="center"/>
    </x:xf>
    <x:xf numFmtId="0" fontId="6" fillId="4"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0" fillId="2"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4" fillId="0" borderId="13" xfId="0" applyNumberFormat="1" applyFont="1" applyFill="1" applyBorder="1"/>
    <x:xf numFmtId="0" fontId="4" fillId="0" borderId="14" xfId="0" applyNumberFormat="1" applyFont="1" applyFill="1" applyBorder="1"/>
    <x:xf numFmtId="0" fontId="4" fillId="0" borderId="13" xfId="0" applyNumberFormat="1" applyFont="1" applyFill="1" applyBorder="1" applyAlignment="1">
      <x:alignment vertical="top"/>
    </x:xf>
    <x:xf numFmtId="0" fontId="4" fillId="0" borderId="14" xfId="0" applyNumberFormat="1" applyFont="1" applyFill="1" applyBorder="1" applyAlignment="1">
      <x:alignment vertical="top"/>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3" borderId="13" xfId="0" applyNumberFormat="1" applyFont="1" applyFill="1" applyBorder="1" applyAlignment="1">
      <x:alignment vertical="top" wrapText="1"/>
    </x:xf>
    <x:xf numFmtId="0" fontId="4" fillId="3" borderId="14" xfId="0" applyNumberFormat="1" applyFont="1" applyFill="1" applyBorder="1" applyAlignment="1">
      <x:alignment vertical="top" wrapText="1"/>
    </x:xf>
    <x:xf numFmtId="0" fontId="4" fillId="3" borderId="13" xfId="0" applyNumberFormat="1" applyFont="1" applyFill="1" applyBorder="1" applyAlignment="1">
      <x:alignment horizontal="center" vertical="top" wrapText="1"/>
    </x:xf>
    <x:xf numFmtId="0" fontId="4" fillId="3" borderId="14"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4" xfId="0" applyNumberFormat="1" applyFont="1" applyFill="1" applyBorder="1" applyAlignment="1">
      <x:alignment horizontal="center" vertical="top" wrapText="1"/>
    </x:xf>
  </x:cellXfs>
  <x:cellStyles count="1">
    <x:cellStyle name="Normal" xfId="0"/>
  </x:cellStyles>
  <x:dxfs count="2">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1a671ec969493d" /><Relationship Type="http://schemas.openxmlformats.org/officeDocument/2006/relationships/theme" Target="/xl/theme/theme1.xml" Id="R72ec09e43ef14bce" /><Relationship Type="http://schemas.openxmlformats.org/officeDocument/2006/relationships/sharedStrings" Target="/xl/sharedStrings.xml" Id="Ra4b388497fba4f3c" /><Relationship Type="http://schemas.openxmlformats.org/officeDocument/2006/relationships/worksheet" Target="/xl/worksheets/sheet1.xml" Id="Rfe2a74d129194c89" /><Relationship Type="http://schemas.openxmlformats.org/officeDocument/2006/relationships/worksheet" Target="/xl/worksheets/sheet2.xml" Id="R3953bd8ff9c54093" /><Relationship Type="http://schemas.openxmlformats.org/officeDocument/2006/relationships/worksheet" Target="/xl/worksheets/sheet3.xml" Id="R8d9003ba56e244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16" hidden="0" customWidth="1"/>
    <x:col min="2" max="2" width="38" hidden="0" customWidth="1"/>
    <x:col min="3" max="3" width="12" hidden="0" customWidth="1"/>
    <x:col min="4" max="4" width="10" hidden="0" customWidth="1"/>
    <x:col min="5" max="5" width="13" hidden="0" customWidth="1"/>
    <x:col min="6" max="6" width="14" hidden="0" customWidth="1"/>
    <x:col min="7" max="7" width="14" hidden="0" customWidth="1"/>
    <x:col min="8" max="8" width="14" hidden="0" customWidth="1"/>
    <x:col min="9" max="9" width="14" hidden="0" customWidth="1"/>
    <x:col min="10" max="10" width="14" hidden="0" customWidth="1"/>
  </x:cols>
  <x:sheetData>
    <x:row r="1">
      <x:c r="A1" s="53"/>
      <x:c r="B1" s="53"/>
      <x:c r="C1" s="53"/>
      <x:c r="D1" s="53"/>
      <x:c r="E1" s="53"/>
      <x:c r="F1" s="53"/>
      <x:c r="G1" s="53"/>
      <x:c r="H1" s="53"/>
      <x:c r="I1" s="53"/>
      <x:c r="J1" s="53"/>
    </x:row>
    <x:row r="2">
      <x:c r="A2" s="48" t="str">
        <x:v>玉米功能文献筛选规则 v1：20篇小批测试</x:v>
      </x:c>
      <x:c r="B2" s="53"/>
      <x:c r="C2" s="53"/>
      <x:c r="D2" s="53"/>
      <x:c r="E2" s="53"/>
      <x:c r="F2" s="53"/>
      <x:c r="G2" s="53"/>
      <x:c r="H2" s="53"/>
      <x:c r="I2" s="53"/>
      <x:c r="J2" s="53"/>
    </x:row>
    <x:row r="3">
      <x:c r="A3" s="54"/>
      <x:c r="B3" s="54"/>
      <x:c r="C3" s="54"/>
      <x:c r="D3" s="54"/>
      <x:c r="E3" s="54"/>
      <x:c r="F3" s="54"/>
      <x:c r="G3" s="54"/>
      <x:c r="H3" s="54"/>
      <x:c r="I3" s="54"/>
      <x:c r="J3" s="54"/>
    </x:row>
    <x:row r="4">
      <x:c r="A4" s="53"/>
      <x:c r="B4" s="53"/>
      <x:c r="C4" s="53"/>
      <x:c r="D4" s="53"/>
      <x:c r="E4" s="53"/>
      <x:c r="F4" s="53"/>
      <x:c r="G4" s="53"/>
      <x:c r="H4" s="53"/>
      <x:c r="I4" s="53"/>
      <x:c r="J4" s="53"/>
    </x:row>
    <x:row r="5">
      <x:c r="A5" s="50" t="str">
        <x:v>先在“人工复核”页只看题名和摘要并填写人工标签；完成后再打开“自动对照”页比较。</x:v>
      </x:c>
      <x:c r="B5" s="50"/>
      <x:c r="C5" s="50"/>
      <x:c r="D5" s="50"/>
      <x:c r="E5" s="50"/>
      <x:c r="F5" s="50"/>
      <x:c r="G5" s="50"/>
      <x:c r="H5" s="50"/>
      <x:c r="I5" s="50"/>
      <x:c r="J5" s="50"/>
    </x:row>
    <x:row r="6">
      <x:c r="A6" s="53"/>
      <x:c r="B6" s="53"/>
      <x:c r="C6" s="53"/>
      <x:c r="D6" s="53"/>
      <x:c r="E6" s="53"/>
      <x:c r="F6" s="53"/>
      <x:c r="G6" s="53"/>
      <x:c r="H6" s="53"/>
      <x:c r="I6" s="53"/>
      <x:c r="J6" s="53"/>
    </x:row>
    <x:row r="7">
      <x:c r="A7" s="11" t="str">
        <x:v>批次信息</x:v>
      </x:c>
      <x:c r="B7" s="12" t="str">
        <x:v>数量</x:v>
      </x:c>
      <x:c r="C7" s="53"/>
      <x:c r="D7" s="11" t="str">
        <x:v>操作顺序</x:v>
      </x:c>
      <x:c r="E7" s="34"/>
      <x:c r="F7" s="34"/>
      <x:c r="G7" s="34"/>
      <x:c r="H7" s="34"/>
      <x:c r="I7" s="34"/>
      <x:c r="J7" s="12"/>
    </x:row>
    <x:row r="8">
      <x:c r="A8" s="20" t="str">
        <x:v>总记录</x:v>
      </x:c>
      <x:c r="B8" s="26" t="n">
        <x:v>20</x:v>
      </x:c>
      <x:c r="C8" s="53"/>
      <x:c r="D8" s="37" t="str">
        <x:v>1</x:v>
      </x:c>
      <x:c r="E8" s="37" t="str">
        <x:v>打开“人工复核”页。</x:v>
      </x:c>
      <x:c r="F8" s="37"/>
      <x:c r="G8" s="37"/>
      <x:c r="H8" s="37"/>
      <x:c r="I8" s="37"/>
      <x:c r="J8" s="37"/>
    </x:row>
    <x:row r="9">
      <x:c r="A9" s="22" t="str">
        <x:v>固定随机盲测</x:v>
      </x:c>
      <x:c r="B9" s="27" t="n">
        <x:v>12</x:v>
      </x:c>
      <x:c r="C9" s="53"/>
      <x:c r="D9" s="37" t="str">
        <x:v>2</x:v>
      </x:c>
      <x:c r="E9" s="37" t="str">
        <x:v>只读题名和摘要，在F列选择A/B/C/D/E/R/X/U。</x:v>
      </x:c>
      <x:c r="F9" s="37"/>
      <x:c r="G9" s="37"/>
      <x:c r="H9" s="37"/>
      <x:c r="I9" s="37"/>
      <x:c r="J9" s="37"/>
    </x:row>
    <x:row r="10">
      <x:c r="A10" s="22" t="str">
        <x:v>边界挑战</x:v>
      </x:c>
      <x:c r="B10" s="27" t="n">
        <x:v>8</x:v>
      </x:c>
      <x:c r="C10" s="53"/>
      <x:c r="D10" s="37" t="str">
        <x:v>3</x:v>
      </x:c>
      <x:c r="E10" s="37" t="str">
        <x:v>不确定时填U，并在G列写明缺什么信息。</x:v>
      </x:c>
      <x:c r="F10" s="37"/>
      <x:c r="G10" s="37"/>
      <x:c r="H10" s="37"/>
      <x:c r="I10" s="37"/>
      <x:c r="J10" s="37"/>
    </x:row>
    <x:row r="11">
      <x:c r="A11" s="22" t="str">
        <x:v>已填人工标签</x:v>
      </x:c>
      <x:c r="B11" s="27" t="n">
        <x:f>COUNTA('人工复核'!$F$7:$F$26)</x:f>
        <x:v>0</x:v>
      </x:c>
      <x:c r="C11" s="53"/>
      <x:c r="D11" s="37" t="str">
        <x:v>4</x:v>
      </x:c>
      <x:c r="E11" s="37" t="str">
        <x:v>全部填完后，再打开“自动对照”页查看旧标签与v1建议。</x:v>
      </x:c>
      <x:c r="F11" s="37"/>
      <x:c r="G11" s="37"/>
      <x:c r="H11" s="37"/>
      <x:c r="I11" s="37"/>
      <x:c r="J11" s="37"/>
    </x:row>
    <x:row r="12">
      <x:c r="A12" s="24" t="str">
        <x:v>待填写</x:v>
      </x:c>
      <x:c r="B12" s="30" t="n">
        <x:f>COUNTBLANK('人工复核'!$F$7:$F$26)</x:f>
        <x:v>20</x:v>
      </x:c>
      <x:c r="C12" s="53"/>
      <x:c r="D12" s="37" t="str">
        <x:v>5</x:v>
      </x:c>
      <x:c r="E12" s="37" t="str">
        <x:v>发现不一致时，以证据边界讨论为主，不计算模型准确率。</x:v>
      </x:c>
      <x:c r="F12" s="37"/>
      <x:c r="G12" s="37"/>
      <x:c r="H12" s="37"/>
      <x:c r="I12" s="37"/>
      <x:c r="J12" s="37"/>
    </x:row>
    <x:row r="13">
      <x:c r="A13" s="53"/>
      <x:c r="B13" s="53"/>
      <x:c r="C13" s="53"/>
      <x:c r="D13" s="53"/>
      <x:c r="E13" s="53"/>
      <x:c r="F13" s="53"/>
      <x:c r="G13" s="53"/>
      <x:c r="H13" s="53"/>
      <x:c r="I13" s="53"/>
      <x:c r="J13" s="53"/>
    </x:row>
    <x:row r="14">
      <x:c r="A14" s="53"/>
      <x:c r="B14" s="53"/>
      <x:c r="C14" s="53"/>
      <x:c r="D14" s="53"/>
      <x:c r="E14" s="53"/>
      <x:c r="F14" s="53"/>
      <x:c r="G14" s="53"/>
      <x:c r="H14" s="53"/>
      <x:c r="I14" s="53"/>
      <x:c r="J14" s="53"/>
    </x:row>
    <x:row r="15">
      <x:c r="A15" s="11" t="str">
        <x:v>标签</x:v>
      </x:c>
      <x:c r="B15" s="34" t="str">
        <x:v>本批使用含义</x:v>
      </x:c>
      <x:c r="C15" s="34" t="str">
        <x:v>旧电脑预标</x:v>
      </x:c>
      <x:c r="D15" s="34" t="str">
        <x:v>v1自动建议</x:v>
      </x:c>
      <x:c r="E15" s="12" t="str">
        <x:v>人工确认</x:v>
      </x:c>
      <x:c r="F15" s="53"/>
      <x:c r="G15" s="53"/>
      <x:c r="H15" s="53"/>
      <x:c r="I15" s="53"/>
      <x:c r="J15" s="53"/>
    </x:row>
    <x:row r="16">
      <x:c r="A16" s="20" t="str">
        <x:v>A</x:v>
      </x:c>
      <x:c r="B16" s="41" t="str">
        <x:v>基因/蛋白层直接实验</x:v>
      </x:c>
      <x:c r="C16" s="41" t="n">
        <x:v>1</x:v>
      </x:c>
      <x:c r="D16" s="41" t="n">
        <x:v>0</x:v>
      </x:c>
      <x:c r="E16" s="21" t="n">
        <x:f>COUNTIFS('人工复核'!$F$7:$F$26,A16)</x:f>
        <x:v>0</x:v>
      </x:c>
      <x:c r="F16" s="53"/>
      <x:c r="G16" s="53"/>
      <x:c r="H16" s="53"/>
      <x:c r="I16" s="53"/>
      <x:c r="J16" s="53"/>
    </x:row>
    <x:row r="17">
      <x:c r="A17" s="22" t="str">
        <x:v>B</x:v>
      </x:c>
      <x:c r="B17" s="42" t="str">
        <x:v>可识别基因/等位基因与表型关系</x:v>
      </x:c>
      <x:c r="C17" s="42" t="n">
        <x:v>0</x:v>
      </x:c>
      <x:c r="D17" s="42" t="n">
        <x:v>0</x:v>
      </x:c>
      <x:c r="E17" s="23" t="n">
        <x:f>COUNTIFS('人工复核'!$F$7:$F$26,A17)</x:f>
        <x:v>0</x:v>
      </x:c>
      <x:c r="F17" s="53"/>
      <x:c r="G17" s="53"/>
      <x:c r="H17" s="53"/>
      <x:c r="I17" s="53"/>
      <x:c r="J17" s="53"/>
    </x:row>
    <x:row r="18">
      <x:c r="A18" s="22" t="str">
        <x:v>C</x:v>
      </x:c>
      <x:c r="B18" s="42" t="str">
        <x:v>QTL、GWAS、表达或群体关联</x:v>
      </x:c>
      <x:c r="C18" s="42" t="n">
        <x:v>0</x:v>
      </x:c>
      <x:c r="D18" s="42" t="n">
        <x:v>1</x:v>
      </x:c>
      <x:c r="E18" s="23" t="n">
        <x:f>COUNTIFS('人工复核'!$F$7:$F$26,A18)</x:f>
        <x:v>0</x:v>
      </x:c>
      <x:c r="F18" s="53"/>
      <x:c r="G18" s="53"/>
      <x:c r="H18" s="53"/>
      <x:c r="I18" s="53"/>
      <x:c r="J18" s="53"/>
    </x:row>
    <x:row r="19">
      <x:c r="A19" s="22" t="str">
        <x:v>D</x:v>
      </x:c>
      <x:c r="B19" s="42" t="str">
        <x:v>序列、同源、系统发育或功能模型</x:v>
      </x:c>
      <x:c r="C19" s="42" t="n">
        <x:v>0</x:v>
      </x:c>
      <x:c r="D19" s="42" t="n">
        <x:v>0</x:v>
      </x:c>
      <x:c r="E19" s="23" t="n">
        <x:f>COUNTIFS('人工复核'!$F$7:$F$26,A19)</x:f>
        <x:v>0</x:v>
      </x:c>
      <x:c r="F19" s="53"/>
      <x:c r="G19" s="53"/>
      <x:c r="H19" s="53"/>
      <x:c r="I19" s="53"/>
      <x:c r="J19" s="53"/>
    </x:row>
    <x:row r="20">
      <x:c r="A20" s="22" t="str">
        <x:v>E</x:v>
      </x:c>
      <x:c r="B20" s="42" t="str">
        <x:v>玉米基因功能相关数据资源</x:v>
      </x:c>
      <x:c r="C20" s="42" t="n">
        <x:v>0</x:v>
      </x:c>
      <x:c r="D20" s="42" t="n">
        <x:v>0</x:v>
      </x:c>
      <x:c r="E20" s="23" t="n">
        <x:f>COUNTIFS('人工复核'!$F$7:$F$26,A20)</x:f>
        <x:v>0</x:v>
      </x:c>
      <x:c r="F20" s="53"/>
      <x:c r="G20" s="53"/>
      <x:c r="H20" s="53"/>
      <x:c r="I20" s="53"/>
      <x:c r="J20" s="53"/>
    </x:row>
    <x:row r="21">
      <x:c r="A21" s="22" t="str">
        <x:v>R</x:v>
      </x:c>
      <x:c r="B21" s="42" t="str">
        <x:v>可追溯原始研究的相关综述</x:v>
      </x:c>
      <x:c r="C21" s="42" t="n">
        <x:v>0</x:v>
      </x:c>
      <x:c r="D21" s="42" t="n">
        <x:v>0</x:v>
      </x:c>
      <x:c r="E21" s="23" t="n">
        <x:f>COUNTIFS('人工复核'!$F$7:$F$26,A21)</x:f>
        <x:v>0</x:v>
      </x:c>
      <x:c r="F21" s="53"/>
      <x:c r="G21" s="53"/>
      <x:c r="H21" s="53"/>
      <x:c r="I21" s="53"/>
      <x:c r="J21" s="53"/>
    </x:row>
    <x:row r="22">
      <x:c r="A22" s="22" t="str">
        <x:v>X</x:v>
      </x:c>
      <x:c r="B22" s="42" t="str">
        <x:v>不入当前内源基因功能核心库</x:v>
      </x:c>
      <x:c r="C22" s="42" t="n">
        <x:v>2</x:v>
      </x:c>
      <x:c r="D22" s="42" t="n">
        <x:v>16</x:v>
      </x:c>
      <x:c r="E22" s="23" t="n">
        <x:f>COUNTIFS('人工复核'!$F$7:$F$26,A22)</x:f>
        <x:v>0</x:v>
      </x:c>
      <x:c r="F22" s="53"/>
      <x:c r="G22" s="53"/>
      <x:c r="H22" s="53"/>
      <x:c r="I22" s="53"/>
      <x:c r="J22" s="53"/>
    </x:row>
    <x:row r="23">
      <x:c r="A23" s="24" t="str">
        <x:v>U</x:v>
      </x:c>
      <x:c r="B23" s="43" t="str">
        <x:v>信息不足，保留具体待核缺口</x:v>
      </x:c>
      <x:c r="C23" s="43" t="n">
        <x:v>17</x:v>
      </x:c>
      <x:c r="D23" s="43" t="n">
        <x:v>3</x:v>
      </x:c>
      <x:c r="E23" s="25" t="n">
        <x:f>COUNTIFS('人工复核'!$F$7:$F$26,A23)</x:f>
        <x:v>0</x:v>
      </x:c>
      <x:c r="F23" s="53"/>
      <x:c r="G23" s="53"/>
      <x:c r="H23" s="53"/>
      <x:c r="I23" s="53"/>
      <x:c r="J23" s="53"/>
    </x:row>
    <x:row r="24">
      <x:c r="A24" s="53"/>
      <x:c r="B24" s="53"/>
      <x:c r="C24" s="53"/>
      <x:c r="D24" s="53"/>
      <x:c r="E24" s="53"/>
      <x:c r="F24" s="53"/>
      <x:c r="G24" s="53"/>
      <x:c r="H24" s="53"/>
      <x:c r="I24" s="53"/>
      <x:c r="J24" s="53"/>
    </x:row>
    <x:row r="25" ht="42" customHeight="1">
      <x:c r="A25" s="55" t="str">
        <x:v>抽样说明</x:v>
      </x:c>
      <x:c r="B25" s="55" t="str">
        <x:v>固定随机种子20261028</x:v>
      </x:c>
      <x:c r="C25" s="55" t="str">
        <x:v>排除已复核36篇</x:v>
      </x:c>
      <x:c r="D25" s="55" t="str">
        <x:v>随机盲测12篇</x:v>
      </x:c>
      <x:c r="E25" s="55" t="str">
        <x:v>边界挑战8篇</x:v>
      </x:c>
      <x:c r="F25" s="55" t="str">
        <x:v>来源：screening_sample_500_prelabelled.csv</x:v>
      </x:c>
      <x:c r="G25" s="53"/>
      <x:c r="H25" s="53"/>
      <x:c r="I25" s="53"/>
      <x:c r="J25" s="53"/>
    </x:row>
    <x:row r="26">
      <x:c r="A26" s="56"/>
      <x:c r="B26" s="56"/>
      <x:c r="C26" s="56"/>
      <x:c r="D26" s="56"/>
      <x:c r="E26" s="56"/>
      <x:c r="F26" s="56"/>
      <x:c r="G26" s="53"/>
      <x:c r="H26" s="53"/>
      <x:c r="I26" s="53"/>
      <x:c r="J26" s="53"/>
    </x:row>
    <x:row r="27" ht="38" customHeight="1">
      <x:c r="A27" s="57" t="str">
        <x:v>限制</x:v>
      </x:c>
      <x:c r="B27" s="57" t="str">
        <x:v>AI逐篇复核建议不是独立人工真值</x:v>
      </x:c>
      <x:c r="C27" s="57" t="str">
        <x:v>请先完成人工复核</x:v>
      </x:c>
      <x:c r="D27" s="57" t="str">
        <x:v>完成后再判断规则是否需要调整</x:v>
      </x:c>
      <x:c r="E27" s="56"/>
      <x:c r="F27" s="56"/>
      <x:c r="G27" s="53"/>
      <x:c r="H27" s="53"/>
      <x:c r="I27" s="53"/>
      <x:c r="J27" s="53"/>
    </x:row>
    <x:row r="28">
      <x:c r="A28" s="53"/>
      <x:c r="B28" s="53"/>
      <x:c r="C28" s="53"/>
      <x:c r="D28" s="53"/>
      <x:c r="E28" s="53"/>
      <x:c r="F28" s="53"/>
      <x:c r="G28" s="53"/>
      <x:c r="H28" s="53"/>
      <x:c r="I28" s="53"/>
      <x:c r="J28" s="53"/>
    </x:row>
    <x:row r="29">
      <x:c r="A29" s="53"/>
      <x:c r="B29" s="53"/>
      <x:c r="C29" s="53"/>
      <x:c r="D29" s="53"/>
      <x:c r="E29" s="53"/>
      <x:c r="F29" s="53"/>
      <x:c r="G29" s="53"/>
      <x:c r="H29" s="53"/>
      <x:c r="I29" s="53"/>
      <x:c r="J29" s="53"/>
    </x:row>
    <x:row r="30">
      <x:c r="A30" s="53"/>
      <x:c r="B30" s="53"/>
      <x:c r="C30" s="53"/>
      <x:c r="D30" s="53"/>
      <x:c r="E30" s="53"/>
      <x:c r="F30" s="53"/>
      <x:c r="G30" s="53"/>
      <x:c r="H30" s="53"/>
      <x:c r="I30" s="53"/>
      <x:c r="J30" s="5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3" ySplit="6" topLeftCell="D7" activePane="bottomRight" state="frozen"/>
    </x:sheetView>
  </x:sheetViews>
  <x:sheetFormatPr defaultRowHeight="15"/>
  <x:cols>
    <x:col min="1" max="1" width="9" hidden="0" customWidth="1"/>
    <x:col min="2" max="2" width="14" hidden="0" customWidth="1"/>
    <x:col min="3" max="3" width="10" hidden="0" customWidth="1"/>
    <x:col min="4" max="4" width="48" hidden="0" customWidth="1"/>
    <x:col min="5" max="5" width="82" hidden="0" customWidth="1"/>
    <x:col min="6" max="6" width="13" hidden="0" customWidth="1"/>
    <x:col min="7" max="7" width="36" hidden="0" customWidth="1"/>
    <x:col min="8" max="8" width="9" hidden="0" customWidth="1"/>
    <x:col min="9" max="9" width="8" hidden="0" customWidth="1"/>
    <x:col min="10" max="10" width="22" hidden="0" customWidth="1"/>
  </x:cols>
  <x:sheetData>
    <x:row r="2">
      <x:c r="A2" s="1" t="str">
        <x:v>20篇小批测试：人工复核</x:v>
      </x:c>
    </x:row>
    <x:row r="3">
      <x:c r="A3" s="2"/>
      <x:c r="B3" s="2"/>
      <x:c r="C3" s="2"/>
      <x:c r="D3" s="2"/>
      <x:c r="E3" s="2"/>
      <x:c r="F3" s="2"/>
      <x:c r="G3" s="2"/>
      <x:c r="H3" s="2"/>
      <x:c r="I3" s="2"/>
      <x:c r="J3" s="2"/>
    </x:row>
    <x:row r="4">
      <x:c r="A4" s="3" t="str">
        <x:v>请先不要打开“自动对照”。逐篇阅读题名和摘要，在F列选择标签；不确定时选择U并在G列写明缺口。</x:v>
      </x:c>
      <x:c r="B4" s="3"/>
      <x:c r="C4" s="3"/>
      <x:c r="D4" s="3"/>
      <x:c r="E4" s="3"/>
      <x:c r="F4" s="3"/>
      <x:c r="G4" s="3"/>
      <x:c r="H4" s="3"/>
      <x:c r="I4" s="3"/>
      <x:c r="J4" s="3"/>
    </x:row>
    <x:row r="6">
      <x:c r="A6" s="11" t="str">
        <x:v>测试ID</x:v>
      </x:c>
      <x:c r="B6" s="34" t="str">
        <x:v>批次类型</x:v>
      </x:c>
      <x:c r="C6" s="34" t="str">
        <x:v>样本ID</x:v>
      </x:c>
      <x:c r="D6" s="34" t="str">
        <x:v>题名</x:v>
      </x:c>
      <x:c r="E6" s="34" t="str">
        <x:v>摘要</x:v>
      </x:c>
      <x:c r="F6" s="34" t="str">
        <x:v>人工确认标签</x:v>
      </x:c>
      <x:c r="G6" s="34" t="str">
        <x:v>人工意见/待核缺口</x:v>
      </x:c>
      <x:c r="H6" s="34" t="str">
        <x:v>来源</x:v>
      </x:c>
      <x:c r="I6" s="34" t="str">
        <x:v>年份</x:v>
      </x:c>
      <x:c r="J6" s="12" t="str">
        <x:v>来源记录键</x:v>
      </x:c>
    </x:row>
    <x:row r="7" ht="96" customHeight="1">
      <x:c r="A7" s="60" t="str">
        <x:v>T01</x:v>
      </x:c>
      <x:c r="B7" s="60" t="str">
        <x:v>随机盲测</x:v>
      </x:c>
      <x:c r="C7" s="60" t="str">
        <x:v>S0295</x:v>
      </x:c>
      <x:c r="D7" s="62" t="str">
        <x:v>Coupling self-sustaining air flotation screening with conventional CSTR enhances anaerobic biodegradability of corn stover.</x:v>
      </x:c>
      <x:c r="E7" s="62" t="str">
        <x:v>The anaerobic biodegradability of lignocellulosic crop waste could be improved by proper pretreatments, but little information is available on enhancing straw digestibility through the reactor configuration. In a lab-based batch experiment, a novel reactor was established to testify the possibility to enhance anaerobic biodegradability of corn stover (CS) by coupling a self-sustaining air flotation screening (SAFS) unit with conventional continuous stirred tank reactor (CSTR). The SAFS-CSTR improved the maximum methane production by 14.27% with the duration of 16 d compared with the conventional CSTR for 20 d. The temporal and spatial distribution of basic indexes significantly differed from conventional CSTR. Elevated bacterial diversity and marked shifts in bacterial community composition were observed in different locations of reactor, with Bacteroidetes and Proteobacteria being the dominant phyla. SAFS unit would serve to separate inhibitors effectively and meanwhile enhance the mass-transfer efficiency, thus providing reference to upgrade or retrofit the conventional CSTR.</x:v>
      </x:c>
      <x:c r="F7" s="66"/>
      <x:c r="G7" s="64"/>
      <x:c r="H7" s="60" t="str">
        <x:v>MED</x:v>
      </x:c>
      <x:c r="I7" s="60" t="n">
        <x:v>2020</x:v>
      </x:c>
      <x:c r="J7" s="60" t="str">
        <x:v>MED:32335348</x:v>
      </x:c>
    </x:row>
    <x:row r="8" ht="96" customHeight="1">
      <x:c r="A8" s="61" t="str">
        <x:v>T02</x:v>
      </x:c>
      <x:c r="B8" s="61" t="str">
        <x:v>边界挑战</x:v>
      </x:c>
      <x:c r="C8" s="61" t="str">
        <x:v>S0207</x:v>
      </x:c>
      <x:c r="D8" s="63" t="str">
        <x:v>Mycorrhizae and grapevines: the known unknowns of their interaction for wine growers' challenges.</x:v>
      </x:c>
      <x:c r="E8" s="63" t="str">
        <x:v>Arbuscular mycorrhizal fungi (AMF) play an important role in grapevine production systems. However, little is known about how this relationship is achieved in the nursery and how soil management might modify it and its derived benefits. Here, we review the current knowledge on the establishment of grapevine-AMF relationships from the nursery to the field, the main factors that affect the effectiveness of the symbiosis, the potential role of AMF as biostimulants in grapevine production systems, and the future perspectives of their use in the current context of climate change. The process of establishing mycorrhizal symbiosis is complex, and the molecular dialogue between the plant roots and the fungus is still not yet fully understood. During vine plant production, rooting occurs in nurseries, where spontaneous symbiosis can be generated. The effectiveness of mycorrhizal symbiosis appears to depend not only on the identity of the fungus but also on the diversity of the vine material and soil management. Finally, the use of AMF as biostimulants might be an effective strategy with which to face the new climatic scenario, but further research dealing with the application of AMF inocula and the protection of native cohorts should be conducted.</x:v>
      </x:c>
      <x:c r="F8" s="67"/>
      <x:c r="G8" s="65"/>
      <x:c r="H8" s="61" t="str">
        <x:v>MED</x:v>
      </x:c>
      <x:c r="I8" s="61" t="n">
        <x:v>2025</x:v>
      </x:c>
      <x:c r="J8" s="61" t="str">
        <x:v>MED:40066981</x:v>
      </x:c>
    </x:row>
    <x:row r="9" ht="96" customHeight="1">
      <x:c r="A9" s="61" t="str">
        <x:v>T03</x:v>
      </x:c>
      <x:c r="B9" s="61" t="str">
        <x:v>随机盲测</x:v>
      </x:c>
      <x:c r="C9" s="61" t="str">
        <x:v>S0304</x:v>
      </x:c>
      <x:c r="D9" s="63" t="str">
        <x:v>Mechanistic Insights into Aflatoxin B1 and M1 Degradation by Bacillus subtilis HNGD-Mq02 from Wheat Koji and Its Application in Food Detoxification.</x:v>
      </x:c>
      <x:c r="E9" s="63" t="str">
        <x:v>Aflatoxin B 1 (AFB 1 ), the most toxic and prevalent mycotoxin in food and feed, and its hydroxylated metabolite aflatoxin M 1 (AFM 1 ), common in dairy products, pose serious health risks. Effective degradation of these toxins is thus a key goal in food safety. In this study, Bacillus subtilis HNGD-Mq02 was isolated and assessed for its ability to degrade AFB 1 and AFM 1 . Under optimal conditions (50 °C, pH 7), the fermentation broth achieved 94.06 and 98.26% degradation, respectively. Ultrahigh-performance liquid chromatography-mass spectrometry (UHPLC-MS) analysis confirmed that both mycotoxins were converted into less-toxic compounds. Zebrafish assays and Ames tests further verified the reduced toxicity of the degradation products. In practical application, the strain reduced AFB 1 by 72.90% in corn flour and AFM 1 by 42.25% in milk powder. Fermentation also led to partial improvements in nutritional quality. These results highlight the potential of B. subtilis HNGD-Mq02 for enhancing the safety and value of food and feed products.</x:v>
      </x:c>
      <x:c r="F9" s="67"/>
      <x:c r="G9" s="65"/>
      <x:c r="H9" s="61" t="str">
        <x:v>MED</x:v>
      </x:c>
      <x:c r="I9" s="61" t="n">
        <x:v>2025</x:v>
      </x:c>
      <x:c r="J9" s="61" t="str">
        <x:v>MED:40890944</x:v>
      </x:c>
    </x:row>
    <x:row r="10" ht="96" customHeight="1">
      <x:c r="A10" s="61" t="str">
        <x:v>T04</x:v>
      </x:c>
      <x:c r="B10" s="61" t="str">
        <x:v>随机盲测</x:v>
      </x:c>
      <x:c r="C10" s="61" t="str">
        <x:v>S0259</x:v>
      </x:c>
      <x:c r="D10" s="63" t="str">
        <x:v>Cottonseed Density: Associated Physical and Chemical Properties of 10 Cultivars</x:v>
      </x:c>
      <x:c r="E10" s="63" t="str">
        <x:v>Recent studies have indicated that cottonseed (Gossypium hirsutum L.) germination and seedling vigor are more closely related to seed density than to any other physical properties such as size or weight. This study was undertaken to determine the physical and chemical differences among seed of different densities within a cultivar and among seed of the same density between cultivars. The primary objective was to relate physical or chemical properties to seed density and to offer an explanation for the reported correlation between seed density, germination, and seedling vigor. Cottonseed of 10 cultivars grown on the Texas High Plains were separated into 4 density groups using a pneumatic separator and increasing air velocities. Separation of seed by density was somewhat independent of cultivar; whereas, seed weight was highly dependent on the cultivar. As seed density increased, the proportion of the total seed weight attributable to the embryo increased from 50% to 65% across all cultivars. The lipid concentration increased significantly from the lowest to the second density group, then remained essentially constant thereafter. All chemical constituents increased significantly when expressed on the basis of seed content. A significant cultivar effect existed within each density group with respect to the quantity of material present. Seed density was a good indication of seed maturity, as shown by the ratios of embryo weight to total seed weight. Although the concentrations of the various chemical constituents were only slightly affected, the quantity of both organic and inorganic material available to the germinating seedling was increased as seed density increased.</x:v>
      </x:c>
      <x:c r="F10" s="67"/>
      <x:c r="G10" s="65"/>
      <x:c r="H10" s="61" t="str">
        <x:v>AGR</x:v>
      </x:c>
      <x:c r="I10" s="61" t="n">
        <x:v>1974</x:v>
      </x:c>
      <x:c r="J10" s="61" t="str">
        <x:v>AGR:9916185676607426</x:v>
      </x:c>
    </x:row>
    <x:row r="11" ht="96" customHeight="1">
      <x:c r="A11" s="61" t="str">
        <x:v>T05</x:v>
      </x:c>
      <x:c r="B11" s="61" t="str">
        <x:v>随机盲测</x:v>
      </x:c>
      <x:c r="C11" s="61" t="str">
        <x:v>S0426</x:v>
      </x:c>
      <x:c r="D11" s="63" t="str">
        <x:v>510 Independent and Combined Effectiveness of Multiple Micronutrient Supplementation and Responsive Caregiving Interventions to Support Early Child Development in Southwest Guatemala</x:v>
      </x:c>
      <x:c r="E11" s="63" t="str">
        <x:v>OBJECTIVES/GOALS: The objective of this study is to examine the independent and combined effectiveness of a multiple micronutrient supplementation and responsive caregiving intervention on early child development in southwestern Guatemala. METHODS/STUDY POPULATION: We conducted a double blind, 2 x 2, cluster randomized controlled trial combining micronutrient supplementation and responsive caregiving treatments. We enrolled 309 infants (6-18 months) and 387 preschoolers (36-52 months) at nutritional risk (height-for-age z-score &lt; -1) (51% male; 17% indigenous ethnicity; 76% of caregivers completed â‰¤ primary school). The supplementation arm received a maize-soy product fortified with 21 micronutrients for 6 months; the control was fortified with B2. The responsive caregiving intervention was adapted from the UNICEF Care for Child Development program and delivered over 6 home visits. We examined changes in early child development from baseline (2015) to endline (2017) using the Bayley Scales of Infant and Toddler Development III and Bracken Scales of School Readiness. RESULTS/ANTICIPATED RESULTS: Among infants, age standardized Bayley cognitive development scores declined over time in each treatment arm. Infant Bayley motor development scores significantly increased in the combined multiple micronutrient supplementation + responsive caregiving arm (â^† = 3.67 [95% CI: 0.17, 7.17], p = 0.04). Among preschoolers, school readiness decreased over time in each treatment arm. The rates of change in infant development and preschooler school readiness did not differ between treatment arms. Further analysis will explore effect modification of the intervention by pre-specified child and household factors. DISCUSSION/SIGNIFICANCE: Combined multiple micronutrient supplementation and responsive caregiving supported motor development while cognitive and school readiness were not impacted by the intervention. These findings will inform the effectiveness and beneficiaries of multisectoral interventions to promote early child development in adverse environments.</x:v>
      </x:c>
      <x:c r="F11" s="67"/>
      <x:c r="G11" s="65"/>
      <x:c r="H11" s="61" t="str">
        <x:v>PMC</x:v>
      </x:c>
      <x:c r="I11" s="61"/>
      <x:c r="J11" s="61" t="str">
        <x:v>PMC:PMC9209285</x:v>
      </x:c>
    </x:row>
    <x:row r="12" ht="96" customHeight="1">
      <x:c r="A12" s="61" t="str">
        <x:v>T06</x:v>
      </x:c>
      <x:c r="B12" s="61" t="str">
        <x:v>边界挑战</x:v>
      </x:c>
      <x:c r="C12" s="61" t="str">
        <x:v>S0097</x:v>
      </x:c>
      <x:c r="D12" s="63" t="str">
        <x:v>Structural analysis of Tam3, a transposable element from Antirrhinum majus, reveals homologies to the Ac element from maize.</x:v>
      </x:c>
      <x:c r="E12" s="63" t="str"/>
      <x:c r="F12" s="67"/>
      <x:c r="G12" s="65"/>
      <x:c r="H12" s="61" t="str">
        <x:v>MED</x:v>
      </x:c>
      <x:c r="I12" s="61" t="n">
        <x:v>1991</x:v>
      </x:c>
      <x:c r="J12" s="61" t="str">
        <x:v>MED:1654157</x:v>
      </x:c>
    </x:row>
    <x:row r="13" ht="96" customHeight="1">
      <x:c r="A13" s="61" t="str">
        <x:v>T07</x:v>
      </x:c>
      <x:c r="B13" s="61" t="str">
        <x:v>随机盲测</x:v>
      </x:c>
      <x:c r="C13" s="61" t="str">
        <x:v>S0434</x:v>
      </x:c>
      <x:c r="D13" s="63" t="str">
        <x:v>Chemical and Physical Architecture of Macromolecular Gels for Fracturing Fluid Applications in the Oil and Gas Industry; Current Status, Challenges, and Prospects.</x:v>
      </x:c>
      <x:c r="E13" s="63" t="str">
        <x:v>Hydraulic fracturing is vital in recovering hydrocarbons from oil and gas reservoirs. It involves injecting a fluid under high pressure into reservoir rock. A significant part of fracturing fluids is the addition of polymers that become gels or gel-like under reservoir conditions. Polymers are employed as viscosifiers and friction reducers to provide proppants in fracturing fluids as a transport medium. There are numerous systems for fracturing fluids based on macromolecules. The employment of natural and man-made linear polymers, and also, to a lesser extent, synthetic hyperbranched polymers, as additives in fracturing fluids in the past one to two decades has shown great promise in enhancing the stability of fracturing fluids under various challenging reservoir conditions. Modern innovations demonstrate the importance of developing chemical structures and properties to improve performance. Key challenges include maintaining viscosity under reservoir conditions and achieving suitable shear-thinning behavior. The physical architecture of macromolecules and novel crosslinking processes are essential in addressing these issues. The effect of macromolecule interactions on reservoir conditions is very critical in regard to efficient fluid qualities and successful fracturing operations. In future, there is the potential for ongoing studies to produce specialized macromolecular solutions for increased efficiency and sustainability in oil and gas applications.</x:v>
      </x:c>
      <x:c r="F13" s="67"/>
      <x:c r="G13" s="65"/>
      <x:c r="H13" s="61" t="str">
        <x:v>MED</x:v>
      </x:c>
      <x:c r="I13" s="61" t="n">
        <x:v>2024</x:v>
      </x:c>
      <x:c r="J13" s="61" t="str">
        <x:v>MED:38786255</x:v>
      </x:c>
    </x:row>
    <x:row r="14" ht="96" customHeight="1">
      <x:c r="A14" s="61" t="str">
        <x:v>T08</x:v>
      </x:c>
      <x:c r="B14" s="61" t="str">
        <x:v>随机盲测</x:v>
      </x:c>
      <x:c r="C14" s="61" t="str">
        <x:v>S0374</x:v>
      </x:c>
      <x:c r="D14" s="63" t="str">
        <x:v>New Frontiers in Potato Breeding: Tinkering with Reproductive Genes and Apomixis</x:v>
      </x:c>
      <x:c r="E14" s="63" t="str"/>
      <x:c r="F14" s="67"/>
      <x:c r="G14" s="65"/>
      <x:c r="H14" s="61" t="str">
        <x:v>PMC</x:v>
      </x:c>
      <x:c r="I14" s="61" t="n">
        <x:v>2024</x:v>
      </x:c>
      <x:c r="J14" s="61" t="str">
        <x:v>PMC:PMC11202281</x:v>
      </x:c>
    </x:row>
    <x:row r="15" ht="96" customHeight="1">
      <x:c r="A15" s="61" t="str">
        <x:v>T09</x:v>
      </x:c>
      <x:c r="B15" s="61" t="str">
        <x:v>边界挑战</x:v>
      </x:c>
      <x:c r="C15" s="61" t="str">
        <x:v>S0438</x:v>
      </x:c>
      <x:c r="D15" s="63" t="str">
        <x:v>Maize feeds and influence of xylanase on broiler digestion of starch</x:v>
      </x:c>
      <x:c r="E15" s="63" t="str">
        <x:v>The primary cereal grain used in poultry feed worldwide is maize. An understanding of how and where broiler chickens digest native starches, this being the major energy component of maize, and the influence that exogenous xylanase has on this process, is essential when optimising nutrient utilisation of a diet. In this project, both in vitro and in vivo models were used to understand broiler digestion of starches in different maize-based diets: native maize starch, maize grit and maize-soy with or without xylanase (Econase XT 25 at 100 g/t; 18,100 BXU/kg). An in vitro model to simulate the digestive tract of broilers using a ball milling technique to mimic the chicken gizzard was designed to investigate differences in the digestion of starches between the various diets. Reduced starch crystallinity and particle size of the diet was shown when samples were ball milled in HCl-pepsin, compared to roller mixed samples, leading to a greater glucose release when these samples were incubated with pancreatin. The maize-soy diet gave the greatest glucose release with pancreatin, with native maize starch giving the lowest, indicating that the processing of diets prior to digestion as well as the surrounding food matrix ... (continues)</x:v>
      </x:c>
      <x:c r="F15" s="67"/>
      <x:c r="G15" s="65"/>
      <x:c r="H15" s="61" t="str">
        <x:v>ETH</x:v>
      </x:c>
      <x:c r="I15" s="61" t="n">
        <x:v>2016</x:v>
      </x:c>
      <x:c r="J15" s="61" t="str">
        <x:v>ETH:689988</x:v>
      </x:c>
    </x:row>
    <x:row r="16" ht="96" customHeight="1">
      <x:c r="A16" s="61" t="str">
        <x:v>T10</x:v>
      </x:c>
      <x:c r="B16" s="61" t="str">
        <x:v>随机盲测</x:v>
      </x:c>
      <x:c r="C16" s="61" t="str">
        <x:v>S0200</x:v>
      </x:c>
      <x:c r="D16" s="63" t="str">
        <x:v>Lipid peroxidation damage to leaves of Zea mays L. seedlings under calcium deficiency.</x:v>
      </x:c>
      <x:c r="E16" s="63" t="str">
        <x:v>Corn seedlings were cultured hydroponies until the 4th leaf emerged then transfered some seedlings to Ca-free media every four days until the eighth leaf stage.In the eight-leaf corn seedlings,the correlation between lidpid peroxidation destruction of membrane system and ultrastructure changes of mesophyll cells was studied.In early stage of Ca-deficiency,the mesophyll cells maintained high superoxide dismutase activity and lower lipid peroxidation.With the development of Ca-deficiency,the superoxide dismutase activity decreased,especially the Cu,Zn-SOD activity,MDA content and membrane permeability increased,cell organelles were destroyed severely and even the whole cell structure was ruined.The ultrastructure damages of mesophyll cells were first observed in chloroplast,followed by the mitochondria,plasmolemma,nuclear membrane and endoplast membrane.The destruction of membrane system under calcium deficiency indicated that lipid peroxidation was enhanced by calcium deficiency.</x:v>
      </x:c>
      <x:c r="F16" s="67"/>
      <x:c r="G16" s="65"/>
      <x:c r="H16" s="61" t="str">
        <x:v>CBA</x:v>
      </x:c>
      <x:c r="I16" s="61" t="n">
        <x:v>1997</x:v>
      </x:c>
      <x:c r="J16" s="61" t="str">
        <x:v>CBA:302012</x:v>
      </x:c>
    </x:row>
    <x:row r="17" ht="96" customHeight="1">
      <x:c r="A17" s="61" t="str">
        <x:v>T11</x:v>
      </x:c>
      <x:c r="B17" s="61" t="str">
        <x:v>边界挑战</x:v>
      </x:c>
      <x:c r="C17" s="61" t="str">
        <x:v>S0394</x:v>
      </x:c>
      <x:c r="D17" s="63" t="str">
        <x:v>SARS-CoV-2's closest relative, RaTG13, was generated from a bat transcriptome not a fecal swab: implications for the origin of COVID-19</x:v>
      </x:c>
      <x:c r="E17" s="63" t="str">
        <x:v>RaTG13 is the closest related coronavirus genome phylogenetically to SARS-CoV-2, consequently understanding its provenance is of key importance to understanding the origin of the COVID-19 pandemic. The RaTG13 NGS dataset is attributed to a fecal swab from the intermediate horseshoe bat Rhinolophus affinis. However, sequence analysis reveals that this is unlikely. Metagenomic analysis using Metaxa2 shows that only 10.3 % of small subunit (SSU) rRNA sequences in the dataset are bacterial, inconsistent with a fecal sample, which are typically dominated by bacterial sequences. In addition, the bacterial taxa present in the sample are inconsistent with fecal material. Assembly of mitochondrial SSU rRNA sequences in the dataset produces a contig 98.7 % identical to R.affinis mitochondrial SSU rRNA, indicating that the sample was generated from this or a closely related species. 87.5 % of the NGS reads map to the Rhinolophus ferrumequinum genome, the closest bat genome to R.affinis available. In the annotated genome assembly, 62.2 % of mapped reads map to protein coding genes. These results clearly demonstrate that the dataset represents a Rhinolophus sp. transcriptome, and not a fecal swab sample. Overall, the data show that the RaTG13 dataset was generated by the Wuhan Institute of Virology (WIV) from a transcriptome derived from Rhinolophus sp. tissue or cell line, indicating that RaTG13 was in live culture. This raises the question of whether the WIV was culturing additional unreported coronaviruses closely related to SARS-CoV-2 prior to the pandemic. The implications for the origin of the COVID-19 pandemic are discussed.</x:v>
      </x:c>
      <x:c r="F17" s="67"/>
      <x:c r="G17" s="65"/>
      <x:c r="H17" s="61" t="str">
        <x:v>PPR</x:v>
      </x:c>
      <x:c r="I17" s="61" t="n">
        <x:v>2021</x:v>
      </x:c>
      <x:c r="J17" s="61" t="str">
        <x:v>PPR:PPR423720</x:v>
      </x:c>
    </x:row>
    <x:row r="18" ht="96" customHeight="1">
      <x:c r="A18" s="61" t="str">
        <x:v>T12</x:v>
      </x:c>
      <x:c r="B18" s="61" t="str">
        <x:v>边界挑战</x:v>
      </x:c>
      <x:c r="C18" s="61" t="str">
        <x:v>S0033</x:v>
      </x:c>
      <x:c r="D18" s="63" t="str">
        <x:v>The FAST technique: a simplified Agrobacterium-based transformation method for transient gene expression analysis in seedlings of Arabidopsis and other plant species.</x:v>
      </x:c>
      <x:c r="E18" s="63" t="str">
        <x:v>Background Plant genome sequencing has resulted in the identification of a large number of uncharacterized genes. To investigate these unknown gene functions, several transient transformation systems have been developed as quick and convenient alternatives to the lengthy transgenic assay. These transient assays include biolistic bombardment, protoplast transfection and Agrobacterium-mediated transient transformation, each having advantages and disadvantages depending on the research purposes. Results We present a novel transient assay based on cocultivation of young Arabidopsis (Arabidopsis thaliana) seedlings with Agrobacterium tumefaciens in the presence of a surfactant which does not require any dedicated equipment and can be carried out within one week from sowing seeds to protein analysis. This Fast Agro-mediated Seedling Transformation (FAST) was used successfully to express a wide variety of constructs driven by different promoters in Arabidopsis seedling cotyledons (but not roots) in diverse genetic backgrounds. Localizations of three previously uncharacterized proteins were identified by cotransformation with fluorescent organelle markers. The FAST procedure requires minimal handling of seedlings and was also adaptable for use in 96-well plates. The high transformation efficiency of the FAST procedure enabled protein detection from eight transformed seedlings by immunoblotting. Protein-protein interaction, in this case HY5 homodimerization, was readily detected in FAST-treated seedlings with Förster resonance energy transfer and bimolecular fluorescence complementation techniques. Initial tests demonstrated that the FAST procedure can also be applied to other dicot and monocot species, including tobacco, tomato, rice and switchgrass. Conclusion The FAST system provides a rapid, efficient and economical assay of gene function in intact plants with minimal manual handling and without dedicated device. This method is potentially ideal for future automated high-throughput analysis.</x:v>
      </x:c>
      <x:c r="F18" s="67"/>
      <x:c r="G18" s="65"/>
      <x:c r="H18" s="61" t="str">
        <x:v>MED</x:v>
      </x:c>
      <x:c r="I18" s="61" t="n">
        <x:v>2009</x:v>
      </x:c>
      <x:c r="J18" s="61" t="str">
        <x:v>MED:19457242</x:v>
      </x:c>
    </x:row>
    <x:row r="19" ht="96" customHeight="1">
      <x:c r="A19" s="61" t="str">
        <x:v>T13</x:v>
      </x:c>
      <x:c r="B19" s="61" t="str">
        <x:v>随机盲测</x:v>
      </x:c>
      <x:c r="C19" s="61" t="str">
        <x:v>S0130</x:v>
      </x:c>
      <x:c r="D19" s="63" t="str">
        <x:v>Soil water deficit and recovery under different vegetation types on the Chinese Loess Plateau</x:v>
      </x:c>
      <x:c r="E19" s="63" t="str">
        <x:v>Characterizing soil water content (SWC) dynamics is a prerequisite for conducting sustainable vegetation restoration on the Chinese Loess Plateau. However, quantifying the variations of the SWC in the deep soil layers remains a challenge because of the different driving factors and the complexity of surface processes. In this study, SWC in 0–10 m of artificial forestlands (AF), apple orchard (AO), native forestland (NF), farmland (maize; FL), and native grassland (NG) were monitored during 2019–2020. The deficit size (DS) and recovery index (RI) were used to explore the effects of vegetation types on SWC. The results showed that the SWCs of forestlands were significantly lower than the SWC of native grassland (12.32%) and tree species significantly affected the SWC. The monthly DS values in forestlands were negative, while those of FL were positive. The DS value in 0-10 m and predictive values below 10 m were negative of forestlands. Thus, tree planting may have consumed soil water at a depth of &gt; 10 m. During the investigation period, soil water was restored in 0–1 m with the positive RI values. In addition, artificial forestlands showed good performance in deep soil water recovery. Canopy density was the controlling factor for soil water restoration. Our results demonstrated that the current afforestation mode used more soil water but was conducive to deep soil water conservation. Therefore, reasonable adjustments should be made according to the local soil and water resources for future vegetation selection and management.</x:v>
      </x:c>
      <x:c r="F19" s="67"/>
      <x:c r="G19" s="65"/>
      <x:c r="H19" s="61" t="str">
        <x:v>PPR</x:v>
      </x:c>
      <x:c r="I19" s="61" t="n">
        <x:v>2021</x:v>
      </x:c>
      <x:c r="J19" s="61" t="str">
        <x:v>PPR:PPR434725</x:v>
      </x:c>
    </x:row>
    <x:row r="20" ht="96" customHeight="1">
      <x:c r="A20" s="61" t="str">
        <x:v>T14</x:v>
      </x:c>
      <x:c r="B20" s="61" t="str">
        <x:v>边界挑战</x:v>
      </x:c>
      <x:c r="C20" s="61" t="str">
        <x:v>S0373</x:v>
      </x:c>
      <x:c r="D20" s="63" t="str">
        <x:v>The role of the Opaque2 transcriptional factor in the regulation of protein accumulation and amino acid metabolism in maize seeds.</x:v>
      </x:c>
      <x:c r="E20" s="63" t="str"/>
      <x:c r="F20" s="67"/>
      <x:c r="G20" s="65"/>
      <x:c r="H20" s="61" t="str">
        <x:v>MED</x:v>
      </x:c>
      <x:c r="I20" s="61" t="n">
        <x:v>1994</x:v>
      </x:c>
      <x:c r="J20" s="61" t="str">
        <x:v>MED:7486460</x:v>
      </x:c>
    </x:row>
    <x:row r="21" ht="96" customHeight="1">
      <x:c r="A21" s="61" t="str">
        <x:v>T15</x:v>
      </x:c>
      <x:c r="B21" s="61" t="str">
        <x:v>随机盲测</x:v>
      </x:c>
      <x:c r="C21" s="61" t="str">
        <x:v>S0480</x:v>
      </x:c>
      <x:c r="D21" s="63" t="str">
        <x:v>A Co-Expression Network in Hexaploid Wheat Reveals Mostly Balanced Expression and Lack of Significant Gene Loss of Homeologous Meiotic Genes Upon Polyploidization.</x:v>
      </x:c>
      <x:c r="E21" s="63" t="str">
        <x:v>Polyploidization has played an important role in plant evolution. However, upon polyploidization, the process of meiosis must adapt to ensure the proper segregation of increased numbers of chromosomes to produce balanced gametes. It has been suggested that meiotic gene (MG) duplicates return to a single copy following whole genome duplication to stabilize the polyploid genome. Therefore, upon the polyploidization of wheat, a hexaploid species with three related (homeologous) genomes, the stabilization process may have involved rapid changes in content and expression of MGs on homeologous chromosomes (homeologs). To examine this hypothesis, sets of candidate MGs were identified in wheat using co-expression network analysis and orthology informed approaches. In total, 130 RNA-Seq samples from a range of tissues including wheat meiotic anthers were used to define co-expressed modules of genes. Three modules were significantly correlated with meiotic tissue samples but not with other tissue types. These modules were enriched for GO terms related to cell cycle, DNA replication, and chromatin modification and contained orthologs of known MGs. Overall, 74.4% of genes within these meiosis-related modules had three homeologous copies which was similar to other tissue-related modules. Amongst wheat MGs identified by orthology, rather than co-expression, the majority (93.7%) were either retained in hexaploid wheat at the same number of copies (78.4%) or increased in copy number (15.3%) compared to ancestral wheat species. Furthermore, genes within meiosis-related modules showed more balanced expression levels between homeologs than genes in non-meiosis-related modules. Taken together, our results do not support extensive gene loss nor changes in homeolog expression of MGs upon wheat polyploidization. The construction of the MG co-expression network allowed identification of hub genes and provided key targets for future studies.</x:v>
      </x:c>
      <x:c r="F21" s="67"/>
      <x:c r="G21" s="65"/>
      <x:c r="H21" s="61" t="str">
        <x:v>MED</x:v>
      </x:c>
      <x:c r="I21" s="61" t="n">
        <x:v>2019</x:v>
      </x:c>
      <x:c r="J21" s="61" t="str">
        <x:v>MED:31681395</x:v>
      </x:c>
    </x:row>
    <x:row r="22" ht="96" customHeight="1">
      <x:c r="A22" s="61" t="str">
        <x:v>T16</x:v>
      </x:c>
      <x:c r="B22" s="61" t="str">
        <x:v>随机盲测</x:v>
      </x:c>
      <x:c r="C22" s="61" t="str">
        <x:v>S0378</x:v>
      </x:c>
      <x:c r="D22" s="63" t="str">
        <x:v>Physical structure and genetic organisation of the genome of maize streak virus (Kenyan isolate).</x:v>
      </x:c>
      <x:c r="E22" s="63" t="str">
        <x:v>The structure of the maize streak virus genome (Kenyan isolate, MSV-K), as determined from the sequence of clones obtained from DNA isolated from virus particles, is composed of one major DNA component of about 2.6 kb. MSV virion DNA is partially double-stranded, composed of a full-length virion (V) strand and a short (70-80b) primer (P) strand. The primer strand has a fixed 5'-end capped with alkaline labile material, presumably 1-2 ribonucleotides. The MSV genome has two major coding regions oriented on opposite strands and flanked by two small intergenic regions. The coding region on the P strand is composed of two major open reading frames (ORFs), arranged in tandem and in the same reading frame. Because the predicted protein derived from a composite of these two ORFs closely corresponds to the product from a single ORF in the cassava latent virus genome, it is likely that this region encodes two proteins with common amino-termini, one a read-through product of the amber codon terminator in the first ORF. The intergenic regions contain potential transcription start and stop signals oriented in the direction of the two opposing coding regions. Considerable DNA sequence heterogeneity was observed, mostly silent or conservative third base substitutions in coding regions and base substitutions, small insertions and small, close-range transpositions in intergenic regions.</x:v>
      </x:c>
      <x:c r="F22" s="67"/>
      <x:c r="G22" s="65"/>
      <x:c r="H22" s="61" t="str">
        <x:v>MED</x:v>
      </x:c>
      <x:c r="I22" s="61" t="n">
        <x:v>1984</x:v>
      </x:c>
      <x:c r="J22" s="61" t="str">
        <x:v>MED:6493977</x:v>
      </x:c>
    </x:row>
    <x:row r="23" ht="96" customHeight="1">
      <x:c r="A23" s="61" t="str">
        <x:v>T17</x:v>
      </x:c>
      <x:c r="B23" s="61" t="str">
        <x:v>随机盲测</x:v>
      </x:c>
      <x:c r="C23" s="61" t="str">
        <x:v>S0225</x:v>
      </x:c>
      <x:c r="D23" s="63" t="str">
        <x:v>Glucocorticoid and mineralocorticoid effects on adrenocorticotropin and beta-endorphin in the adrenalectomized rat.</x:v>
      </x:c>
      <x:c r="E23" s="63" t="str">
        <x:v>Immunoreactive ACTH (ir-ACTH) and immunoreactive beta-endorphin (ir-betaEP) were determined in plasma, anterior pituitary, neuro-intermediate lobe, and hypothalamus of sham-adrenalectomized rats, and adrenalectomized rats given six daily injections of vehicle (oil), dexamethasone, 9alpha-fluorocortisol or deoxycorticosterone. 6 d after adrenalectomy, anterior pituitary ir-ACTH and ir-betaEP were double, and plasma levels approximately fivefold those in controls. Adrenalectomy did not alter hypothalamic levels of either peptide, or ir-betaEP in neuro-intermediate lobe, in which tissue ir-ACTH was below detection limit at routine dilutions. Dexamethasone (0.2-200 mug/d) concurrently suppressed plasma ir-ACTH and ir-betaEP, with a near maximal effect at 20 mug, and a half-maximal effect between 2 and 6 mug; similar dose-response characteristics were found for thymolysis. Step-wise increases in anterior pituitary content of both peptides were found, with no change in hypothalamic levels of either peptide, or neuro-intermediate lobe ir-betaEP. 9alpha-fluorocortisol (0.2-200 mug/d) produced plasma, anterior pituitary, and hypothalamic effects equivalent to dexamethasone, but with one-tenth the potency. Unlike dexamethasone, higher doses of 9alpha-fluorocortisol significantly elevated neuro-intermediate lobe ir-betaEP. Deoxycorticosterone (2-2,000 mug/d) produced no significant changes in plasma, anterior pituitary or hypothalamic levels of either peptide; like 9alpha-fluorocortisol, doses of &gt;60 mug/d significantly elevated neuro-intermediate lobe ir-betaEP. Whereas ir-ACTH and ir-betaEP synthesis in and release from the anterior pituitary are under complex negative feedback glucocorticoid control, there exists a mineralocorticoid-specific effect on neuro-intermediate lobe content of ir-betaEP.</x:v>
      </x:c>
      <x:c r="F23" s="67"/>
      <x:c r="G23" s="65"/>
      <x:c r="H23" s="61" t="str">
        <x:v>MED</x:v>
      </x:c>
      <x:c r="I23" s="61" t="n">
        <x:v>1982</x:v>
      </x:c>
      <x:c r="J23" s="61" t="str">
        <x:v>MED:6279699</x:v>
      </x:c>
    </x:row>
    <x:row r="24" ht="96" customHeight="1">
      <x:c r="A24" s="61" t="str">
        <x:v>T18</x:v>
      </x:c>
      <x:c r="B24" s="61" t="str">
        <x:v>边界挑战</x:v>
      </x:c>
      <x:c r="C24" s="61" t="str">
        <x:v>S0417</x:v>
      </x:c>
      <x:c r="D24" s="63" t="str">
        <x:v>Soil Microbiota Modulates Root Transcriptome With Divergent Effect on Maize Growth Under Low and High Phosphorus Inputs.</x:v>
      </x:c>
      <x:c r="E24" s="63" t="str">
        <x:v>Plant growth can be promoted by beneficial microorganisms, or inhibited by detrimental ones. Although the interaction process between a single microbial species and its host has been extensively studied, the growth and transcriptional response of the host to soil microbiota is poorly understood. We planted maize in natural or sterile soil collected from a long-term experimental site with two different soil phosphate (P) regimes. We examined the composition of microbial communities inhabiting root-associated niches in natural soil. In parallel, we determined the biomass, ionomes, and root transcriptome profiling of maize grown in natural or sterile soil. Soil microbiota could promote or inhibit different P starvation-responsive (PSR) genes, as well as induce several defense-related metabolic processes independently of external P levels. Soil microbiota accompanied by long-term application of P fertilizer induced lower intensity of PSR and defense responses, inhibiting maize growth. Under a low P regime, the PSR and defense responses were induced to a higher extent, promoting P absorption and growth. Our findings suggest a soil P-dependent effect of microbiota on maize growth by integrating PSR and defense responses and provide a more refined understanding of the interaction between root growth and soil microbiota.</x:v>
      </x:c>
      <x:c r="F24" s="67"/>
      <x:c r="G24" s="65"/>
      <x:c r="H24" s="61" t="str">
        <x:v>MED</x:v>
      </x:c>
      <x:c r="I24" s="61" t="n">
        <x:v>2025</x:v>
      </x:c>
      <x:c r="J24" s="61" t="str">
        <x:v>MED:39552518</x:v>
      </x:c>
    </x:row>
    <x:row r="25" ht="96" customHeight="1">
      <x:c r="A25" s="61" t="str">
        <x:v>T19</x:v>
      </x:c>
      <x:c r="B25" s="61" t="str">
        <x:v>随机盲测</x:v>
      </x:c>
      <x:c r="C25" s="61" t="str">
        <x:v>S0150</x:v>
      </x:c>
      <x:c r="D25" s="63" t="str">
        <x:v>The Putative Mesoamerican Domestication Center of Phaseolus vulgaris Is Located in the Lerma–Santiago Basin of Mexico</x:v>
      </x:c>
      <x:c r="E25" s="63" t="str">
        <x:v>Mesoamerican food agriculture is defined by the milpa cropping system, consisting of maize (Zea mays L.), common bean (Phaseolus vulgaris L.), and squash (Cucurbita spp.). In recent years, a domestication center for maize has been proposed in the Balsas River basin in west-central Mexico, raising the question whether the Balsas basin was also the center of origin for Mesoamerican food agriculture in general. We conducted a survey of genetic diversity for 26 microsatellite markers in a representative sample of 155 wild and domesticated common bean from its Mesoamerican gene pool. Microsatellite diversity was analyzed with STRUCTURE, neighbor-joining tree construction, and principal coordinate analysis. Most Mesoamerican domesticated accessions clustered in a single group, suggesting a single domestication. Furthermore, the most closely related wild beans to the domesticated clade originated from a restricted region in the Rio Lerma–Rio Grande de Santiago basin in west-central Mexico, distinct from the Balsas basin. Although wild maize and Phaseolus beans grow together in the wild, they appear to have been domesticated in different regions to be reunited later on in a single cropping system. Crop domestications in Mesoamerica may therefore have a diffuse rather than a single geographic origin. Archaeological and ecological investigations into the origins of agriculture should be refocused from the arid eastern half of Mexico to the west-central part of the country.</x:v>
      </x:c>
      <x:c r="F25" s="67"/>
      <x:c r="G25" s="65"/>
      <x:c r="H25" s="61" t="str">
        <x:v>AGR</x:v>
      </x:c>
      <x:c r="I25" s="61" t="n">
        <x:v>2009</x:v>
      </x:c>
      <x:c r="J25" s="61" t="str">
        <x:v>AGR:IND44184407</x:v>
      </x:c>
    </x:row>
    <x:row r="26" ht="96" customHeight="1">
      <x:c r="A26" s="61" t="str">
        <x:v>T20</x:v>
      </x:c>
      <x:c r="B26" s="61" t="str">
        <x:v>边界挑战</x:v>
      </x:c>
      <x:c r="C26" s="61" t="str">
        <x:v>S0262</x:v>
      </x:c>
      <x:c r="D26" s="63" t="str">
        <x:v>Estimation of the nuclear DNA content of gossypium species.</x:v>
      </x:c>
      <x:c r="E26" s="63" t="str">
        <x:v>Background and aims Gossypium is an economically important, globally distributed taxon comprising more than 50 species. DNA content estimates from about half of the species indicate over a 3-fold variation exists. However, the nine DNA content estimates for G. hirsutum reveal over a 2-fold difference for this species alone. Recent reports have shown that several plant compounds can bias DNA content estimates obtained by commonly used methods. The purpose of this research was to examine the standardization procedures used for DNA content determinations with flow cytometry as applied to Gossypium, and generate revised DNA content estimates for all available Gossypium species using best-standard practices. Methods Flow cytometry was used to measure fluorescence of isolated Gossypium nuclei stained with propidium iodide. Fluorescence values were converted to DNA content estimates based on the nuclear fluorescence of standard genotypes of barley, corn and rice. Various combinations of nuclei preparations relative to the standards were evaluated for their influence on the estimates. Key results Both external standardization and internal standardization with Oryza sativa 'IR36' yielded statistically similar DNA content estimates for Gossypium. Internal standardization with Hordeum vulgare 'Sultan' resulted in a high estimate of DNA content. Nuclear DNA content estimates were generated for 37 Gossypium species using external standardization. Estimates of ancestral genome sizes reveal that both increases and decreases in nuclear DNA content have occurred. Variation in intraspecific and intragenomic DNA content was low, and the allopolyploid AD-genome size was nearly the additive of its progenitor genomes. Conclusions Due to unknown factors, internal standardization with H. vulgare 'Sultan' may not be appropriate for DNA content determinations of Gossypium. The current DNA content estimates support accepted cytogenetic divisions of the genus. Gossypium is a genus that exhibits genome constancy both through speciation within genomic groups and allopolyploidization.</x:v>
      </x:c>
      <x:c r="F26" s="67"/>
      <x:c r="G26" s="65"/>
      <x:c r="H26" s="61" t="str">
        <x:v>MED</x:v>
      </x:c>
      <x:c r="I26" s="61" t="n">
        <x:v>2005</x:v>
      </x:c>
      <x:c r="J26" s="61" t="str">
        <x:v>MED:15701660</x:v>
      </x:c>
    </x:row>
  </x:sheetData>
  <x:dataValidations count="1">
    <x:dataValidation type="list" sqref="F7:F26">
      <x:formula1>"A,B,C,D,E,R,X,U"</x:formula1>
    </x:dataValidation>
  </x:dataValidations>
  <x:pageMargins left="0.7" right="0.7" top="0.75" bottom="0.75" header="0.3" footer="0.3"/>
</x:worksheet>
</file>

<file path=xl/worksheets/sheet3.xml><?xml version="1.0" encoding="utf-8"?>
<x:worksheet xmlns:x="http://schemas.openxmlformats.org/spreadsheetml/2006/main">
  <x:sheetPr>
    <x:tabColor rgb="FFA6A6A6"/>
  </x:sheetPr>
  <x:sheetViews>
    <x:sheetView showGridLines="0" workbookViewId="0">
      <x:pane xSplit="2" ySplit="6" topLeftCell="C7" activePane="bottomRight" state="frozen"/>
    </x:sheetView>
  </x:sheetViews>
  <x:sheetFormatPr defaultRowHeight="15"/>
  <x:cols>
    <x:col min="1" max="1" width="9" hidden="0" customWidth="1"/>
    <x:col min="2" max="2" width="10" hidden="0" customWidth="1"/>
    <x:col min="3" max="3" width="46" hidden="0" customWidth="1"/>
    <x:col min="4" max="4" width="12" hidden="0" customWidth="1"/>
    <x:col min="5" max="5" width="12" hidden="0" customWidth="1"/>
    <x:col min="6" max="6" width="38" hidden="0" customWidth="1"/>
    <x:col min="7" max="7" width="14" hidden="0" customWidth="1"/>
    <x:col min="8" max="8" width="42" hidden="0" customWidth="1"/>
    <x:col min="9" max="9" width="13" hidden="0" customWidth="1"/>
    <x:col min="10" max="10" width="13" hidden="0" customWidth="1"/>
    <x:col min="11" max="11" width="28" hidden="0" customWidth="1"/>
  </x:cols>
  <x:sheetData>
    <x:row r="2">
      <x:c r="A2" s="1" t="str">
        <x:v>20篇小批测试：自动建议对照</x:v>
      </x:c>
    </x:row>
    <x:row r="3">
      <x:c r="A3" s="2"/>
      <x:c r="B3" s="2"/>
      <x:c r="C3" s="2"/>
      <x:c r="D3" s="2"/>
      <x:c r="E3" s="2"/>
      <x:c r="F3" s="2"/>
      <x:c r="G3" s="2"/>
      <x:c r="H3" s="2"/>
      <x:c r="I3" s="2"/>
      <x:c r="J3" s="2"/>
      <x:c r="K3" s="2"/>
    </x:row>
    <x:row r="4">
      <x:c r="A4" s="3" t="str">
        <x:v>本页在人工复核完成后使用。旧电脑预标是历史关键词规则；AI逐篇复核建议仍不是独立人工真值。</x:v>
      </x:c>
      <x:c r="B4" s="3"/>
      <x:c r="C4" s="3"/>
      <x:c r="D4" s="3"/>
      <x:c r="E4" s="3"/>
      <x:c r="F4" s="3"/>
      <x:c r="G4" s="3"/>
      <x:c r="H4" s="3"/>
      <x:c r="I4" s="3"/>
      <x:c r="J4" s="3"/>
      <x:c r="K4" s="3"/>
    </x:row>
    <x:row r="6">
      <x:c r="A6" s="11" t="str">
        <x:v>测试ID</x:v>
      </x:c>
      <x:c r="B6" s="34" t="str">
        <x:v>样本ID</x:v>
      </x:c>
      <x:c r="C6" s="34" t="str">
        <x:v>题名</x:v>
      </x:c>
      <x:c r="D6" s="34" t="str">
        <x:v>旧电脑预标</x:v>
      </x:c>
      <x:c r="E6" s="34" t="str">
        <x:v>v1自动建议</x:v>
      </x:c>
      <x:c r="F6" s="34" t="str">
        <x:v>v1自动理由</x:v>
      </x:c>
      <x:c r="G6" s="34" t="str">
        <x:v>AI逐篇复核建议</x:v>
      </x:c>
      <x:c r="H6" s="34" t="str">
        <x:v>AI复核理由</x:v>
      </x:c>
      <x:c r="I6" s="34" t="str">
        <x:v>人工确认标签</x:v>
      </x:c>
      <x:c r="J6" s="34" t="str">
        <x:v>v1与人工</x:v>
      </x:c>
      <x:c r="K6" s="12" t="str">
        <x:v>选择原因</x:v>
      </x:c>
    </x:row>
    <x:row r="7" ht="78" customHeight="1">
      <x:c r="A7" s="60" t="str">
        <x:v>T01</x:v>
      </x:c>
      <x:c r="B7" s="60" t="str">
        <x:v>S0295</x:v>
      </x:c>
      <x:c r="C7" s="62" t="str">
        <x:v>Coupling self-sustaining air flotation screening with conventional CSTR enhances anaerobic biodegradability of corn stover.</x:v>
      </x:c>
      <x:c r="D7" s="68" t="str">
        <x:v>U</x:v>
      </x:c>
      <x:c r="E7" s="68" t="str">
        <x:v>X</x:v>
      </x:c>
      <x:c r="F7" s="62" t="str">
        <x:v>玉米仅作为底物、食品、饲料、标准、病毒宿主名称或环境背景。</x:v>
      </x:c>
      <x:c r="G7" s="68" t="str">
        <x:v>X</x:v>
      </x:c>
      <x:c r="H7" s="62" t="str">
        <x:v>玉米秸秆是厌氧消化底物，实验针对反应器和细菌群落，没有玉米基因关系。</x:v>
      </x:c>
      <x:c r="I7" s="68" t="str">
        <x:f>IF('人工复核'!F7="","",'人工复核'!F7)</x:f>
      </x:c>
      <x:c r="J7" s="68" t="str">
        <x:f>IF(I7="","待填写",IF(I7=E7,"一致","不一致"))</x:f>
        <x:v>待填写</x:v>
      </x:c>
      <x:c r="K7" s="62" t="str">
        <x:v>固定随机种子；未按旧电脑标签挑选</x:v>
      </x:c>
    </x:row>
    <x:row r="8" ht="78" customHeight="1">
      <x:c r="A8" s="61" t="str">
        <x:v>T02</x:v>
      </x:c>
      <x:c r="B8" s="61" t="str">
        <x:v>S0207</x:v>
      </x:c>
      <x:c r="C8" s="63" t="str">
        <x:v>Mycorrhizae and grapevines: the known unknowns of their interaction for wine growers' challenges.</x:v>
      </x:c>
      <x:c r="D8" s="69" t="str">
        <x:v>U</x:v>
      </x:c>
      <x:c r="E8" s="69" t="str">
        <x:v>X</x:v>
      </x:c>
      <x:c r="F8" s="63" t="str">
        <x:v>标题主体是其他物种、动物、人类或非农业工程主题。</x:v>
      </x:c>
      <x:c r="G8" s="69" t="str">
        <x:v>X</x:v>
      </x:c>
      <x:c r="H8" s="63" t="str">
        <x:v>综述对象是葡萄与菌根，和玉米内源基因功能无关；综述类型本身不能判R。</x:v>
      </x:c>
      <x:c r="I8" s="69" t="str">
        <x:f>IF('人工复核'!F8="","",'人工复核'!F8)</x:f>
      </x:c>
      <x:c r="J8" s="69" t="str">
        <x:f>IF(I8="","待填写",IF(I8=E8,"一致","不一致"))</x:f>
        <x:v>待填写</x:v>
      </x:c>
      <x:c r="K8" s="63" t="str">
        <x:v>R边界</x:v>
      </x:c>
    </x:row>
    <x:row r="9" ht="78" customHeight="1">
      <x:c r="A9" s="61" t="str">
        <x:v>T03</x:v>
      </x:c>
      <x:c r="B9" s="61" t="str">
        <x:v>S0304</x:v>
      </x:c>
      <x:c r="C9" s="63" t="str">
        <x:v>Mechanistic Insights into Aflatoxin B1 and M1 Degradation by Bacillus subtilis HNGD-Mq02 from Wheat Koji and Its Application in Food Detoxification.</x:v>
      </x:c>
      <x:c r="D9" s="69" t="str">
        <x:v>X</x:v>
      </x:c>
      <x:c r="E9" s="69" t="str">
        <x:v>X</x:v>
      </x:c>
      <x:c r="F9" s="63" t="str">
        <x:v>玉米仅作为底物、食品、饲料、标准、病毒宿主名称或环境背景。</x:v>
      </x:c>
      <x:c r="G9" s="69" t="str">
        <x:v>X</x:v>
      </x:c>
      <x:c r="H9" s="63" t="str">
        <x:v>实验对象是枯草芽孢杆菌及真菌毒素，玉米粉只是食品应用材料。</x:v>
      </x:c>
      <x:c r="I9" s="69" t="str">
        <x:f>IF('人工复核'!F9="","",'人工复核'!F9)</x:f>
      </x:c>
      <x:c r="J9" s="69" t="str">
        <x:f>IF(I9="","待填写",IF(I9=E9,"一致","不一致"))</x:f>
        <x:v>待填写</x:v>
      </x:c>
      <x:c r="K9" s="63" t="str">
        <x:v>固定随机种子；未按旧电脑标签挑选</x:v>
      </x:c>
    </x:row>
    <x:row r="10" ht="78" customHeight="1">
      <x:c r="A10" s="61" t="str">
        <x:v>T04</x:v>
      </x:c>
      <x:c r="B10" s="61" t="str">
        <x:v>S0259</x:v>
      </x:c>
      <x:c r="C10" s="63" t="str">
        <x:v>Cottonseed Density: Associated Physical and Chemical Properties of 10 Cultivars</x:v>
      </x:c>
      <x:c r="D10" s="69" t="str">
        <x:v>U</x:v>
      </x:c>
      <x:c r="E10" s="69" t="str">
        <x:v>X</x:v>
      </x:c>
      <x:c r="F10" s="63" t="str">
        <x:v>标题主体是其他物种、动物、人类或非农业工程主题。</x:v>
      </x:c>
      <x:c r="G10" s="69" t="str">
        <x:v>X</x:v>
      </x:c>
      <x:c r="H10" s="63" t="str">
        <x:v>研究棉籽密度和成分，没有玉米研究对象。</x:v>
      </x:c>
      <x:c r="I10" s="69" t="str">
        <x:f>IF('人工复核'!F10="","",'人工复核'!F10)</x:f>
      </x:c>
      <x:c r="J10" s="69" t="str">
        <x:f>IF(I10="","待填写",IF(I10=E10,"一致","不一致"))</x:f>
        <x:v>待填写</x:v>
      </x:c>
      <x:c r="K10" s="63" t="str">
        <x:v>固定随机种子；未按旧电脑标签挑选</x:v>
      </x:c>
    </x:row>
    <x:row r="11" ht="78" customHeight="1">
      <x:c r="A11" s="61" t="str">
        <x:v>T05</x:v>
      </x:c>
      <x:c r="B11" s="61" t="str">
        <x:v>S0426</x:v>
      </x:c>
      <x:c r="C11" s="63" t="str">
        <x:v>510 Independent and Combined Effectiveness of Multiple Micronutrient Supplementation and Responsive Caregiving Interventions to Support Early Child Development in Southwest Guatemala</x:v>
      </x:c>
      <x:c r="D11" s="69" t="str">
        <x:v>U</x:v>
      </x:c>
      <x:c r="E11" s="69" t="str">
        <x:v>X</x:v>
      </x:c>
      <x:c r="F11" s="63" t="str">
        <x:v>玉米仅作为底物、食品、饲料、标准、病毒宿主名称或环境背景。</x:v>
      </x:c>
      <x:c r="G11" s="69" t="str">
        <x:v>X</x:v>
      </x:c>
      <x:c r="H11" s="63" t="str">
        <x:v>研究儿童营养干预，玉米-大豆制品是补充食品。</x:v>
      </x:c>
      <x:c r="I11" s="69" t="str">
        <x:f>IF('人工复核'!F11="","",'人工复核'!F11)</x:f>
      </x:c>
      <x:c r="J11" s="69" t="str">
        <x:f>IF(I11="","待填写",IF(I11=E11,"一致","不一致"))</x:f>
        <x:v>待填写</x:v>
      </x:c>
      <x:c r="K11" s="63" t="str">
        <x:v>固定随机种子；未按旧电脑标签挑选</x:v>
      </x:c>
    </x:row>
    <x:row r="12" ht="78" customHeight="1">
      <x:c r="A12" s="61" t="str">
        <x:v>T06</x:v>
      </x:c>
      <x:c r="B12" s="61" t="str">
        <x:v>S0097</x:v>
      </x:c>
      <x:c r="C12" s="63" t="str">
        <x:v>Structural analysis of Tam3, a transposable element from Antirrhinum majus, reveals homologies to the Ac element from maize.</x:v>
      </x:c>
      <x:c r="D12" s="69" t="str">
        <x:v>U</x:v>
      </x:c>
      <x:c r="E12" s="69" t="str">
        <x:v>U</x:v>
      </x:c>
      <x:c r="F12" s="63" t="str">
        <x:v>缺摘要；仅凭标题不能确认研究对象、实验类型和证据强度。</x:v>
      </x:c>
      <x:c r="G12" s="69" t="str">
        <x:v>U</x:v>
      </x:c>
      <x:c r="H12" s="63" t="str">
        <x:v>标题显示金鱼草转座子与玉米Ac同源，但缺摘要；可能有D层比较证据，暂不能确认。</x:v>
      </x:c>
      <x:c r="I12" s="69" t="str">
        <x:f>IF('人工复核'!F12="","",'人工复核'!F12)</x:f>
      </x:c>
      <x:c r="J12" s="69" t="str">
        <x:f>IF(I12="","待填写",IF(I12=E12,"一致","不一致"))</x:f>
        <x:v>待填写</x:v>
      </x:c>
      <x:c r="K12" s="63" t="str">
        <x:v>D边界</x:v>
      </x:c>
    </x:row>
    <x:row r="13" ht="78" customHeight="1">
      <x:c r="A13" s="61" t="str">
        <x:v>T07</x:v>
      </x:c>
      <x:c r="B13" s="61" t="str">
        <x:v>S0434</x:v>
      </x:c>
      <x:c r="C13" s="63" t="str">
        <x:v>Chemical and Physical Architecture of Macromolecular Gels for Fracturing Fluid Applications in the Oil and Gas Industry; Current Status, Challenges, and Prospects.</x:v>
      </x:c>
      <x:c r="D13" s="69" t="str">
        <x:v>U</x:v>
      </x:c>
      <x:c r="E13" s="69" t="str">
        <x:v>X</x:v>
      </x:c>
      <x:c r="F13" s="63" t="str">
        <x:v>标题主体是其他物种、动物、人类或非农业工程主题。</x:v>
      </x:c>
      <x:c r="G13" s="69" t="str">
        <x:v>X</x:v>
      </x:c>
      <x:c r="H13" s="63" t="str">
        <x:v>研究油气压裂液高分子凝胶，与玉米基因无关。</x:v>
      </x:c>
      <x:c r="I13" s="69" t="str">
        <x:f>IF('人工复核'!F13="","",'人工复核'!F13)</x:f>
      </x:c>
      <x:c r="J13" s="69" t="str">
        <x:f>IF(I13="","待填写",IF(I13=E13,"一致","不一致"))</x:f>
        <x:v>待填写</x:v>
      </x:c>
      <x:c r="K13" s="63" t="str">
        <x:v>固定随机种子；未按旧电脑标签挑选</x:v>
      </x:c>
    </x:row>
    <x:row r="14" ht="78" customHeight="1">
      <x:c r="A14" s="61" t="str">
        <x:v>T08</x:v>
      </x:c>
      <x:c r="B14" s="61" t="str">
        <x:v>S0374</x:v>
      </x:c>
      <x:c r="C14" s="63" t="str">
        <x:v>New Frontiers in Potato Breeding: Tinkering with Reproductive Genes and Apomixis</x:v>
      </x:c>
      <x:c r="D14" s="69" t="str">
        <x:v>U</x:v>
      </x:c>
      <x:c r="E14" s="69" t="str">
        <x:v>X</x:v>
      </x:c>
      <x:c r="F14" s="63" t="str">
        <x:v>缺摘要，但标题已明确研究其他物种且无玉米对象。</x:v>
      </x:c>
      <x:c r="G14" s="69" t="str">
        <x:v>X</x:v>
      </x:c>
      <x:c r="H14" s="63" t="str">
        <x:v>标题明确是马铃薯育种，且缺少玉米对象。</x:v>
      </x:c>
      <x:c r="I14" s="69" t="str">
        <x:f>IF('人工复核'!F14="","",'人工复核'!F14)</x:f>
      </x:c>
      <x:c r="J14" s="69" t="str">
        <x:f>IF(I14="","待填写",IF(I14=E14,"一致","不一致"))</x:f>
        <x:v>待填写</x:v>
      </x:c>
      <x:c r="K14" s="63" t="str">
        <x:v>固定随机种子；未按旧电脑标签挑选</x:v>
      </x:c>
    </x:row>
    <x:row r="15" ht="78" customHeight="1">
      <x:c r="A15" s="61" t="str">
        <x:v>T09</x:v>
      </x:c>
      <x:c r="B15" s="61" t="str">
        <x:v>S0438</x:v>
      </x:c>
      <x:c r="C15" s="63" t="str">
        <x:v>Maize feeds and influence of xylanase on broiler digestion of starch</x:v>
      </x:c>
      <x:c r="D15" s="69" t="str">
        <x:v>U</x:v>
      </x:c>
      <x:c r="E15" s="69" t="str">
        <x:v>X</x:v>
      </x:c>
      <x:c r="F15" s="63" t="str">
        <x:v>玉米仅作为底物、食品、饲料、标准、病毒宿主名称或环境背景。</x:v>
      </x:c>
      <x:c r="G15" s="69" t="str">
        <x:v>X</x:v>
      </x:c>
      <x:c r="H15" s="63" t="str">
        <x:v>研究肉鸡对玉米饲料淀粉的消化，实验对象和结论均为动物营养。</x:v>
      </x:c>
      <x:c r="I15" s="69" t="str">
        <x:f>IF('人工复核'!F15="","",'人工复核'!F15)</x:f>
      </x:c>
      <x:c r="J15" s="69" t="str">
        <x:f>IF(I15="","待填写",IF(I15=E15,"一致","不一致"))</x:f>
        <x:v>待填写</x:v>
      </x:c>
      <x:c r="K15" s="63" t="str">
        <x:v>U边界</x:v>
      </x:c>
    </x:row>
    <x:row r="16" ht="78" customHeight="1">
      <x:c r="A16" s="61" t="str">
        <x:v>T10</x:v>
      </x:c>
      <x:c r="B16" s="61" t="str">
        <x:v>S0200</x:v>
      </x:c>
      <x:c r="C16" s="63" t="str">
        <x:v>Lipid peroxidation damage to leaves of Zea mays L. seedlings under calcium deficiency.</x:v>
      </x:c>
      <x:c r="D16" s="69" t="str">
        <x:v>U</x:v>
      </x:c>
      <x:c r="E16" s="69" t="str">
        <x:v>U</x:v>
      </x:c>
      <x:c r="F16" s="63" t="str">
        <x:v>与玉米有关，但没有足够信息形成可追溯的基因、蛋白或QTL关系。</x:v>
      </x:c>
      <x:c r="G16" s="69" t="str">
        <x:v>U</x:v>
      </x:c>
      <x:c r="H16" s="63" t="str">
        <x:v>玉米幼苗生理和SOD酶活确有实测，但没有可识别的具体基因或等位基因；是否进入辅助生理层待定。</x:v>
      </x:c>
      <x:c r="I16" s="69" t="str">
        <x:f>IF('人工复核'!F16="","",'人工复核'!F16)</x:f>
      </x:c>
      <x:c r="J16" s="69" t="str">
        <x:f>IF(I16="","待填写",IF(I16=E16,"一致","不一致"))</x:f>
        <x:v>待填写</x:v>
      </x:c>
      <x:c r="K16" s="63" t="str">
        <x:v>固定随机种子；未按旧电脑标签挑选</x:v>
      </x:c>
    </x:row>
    <x:row r="17" ht="78" customHeight="1">
      <x:c r="A17" s="61" t="str">
        <x:v>T11</x:v>
      </x:c>
      <x:c r="B17" s="61" t="str">
        <x:v>S0394</x:v>
      </x:c>
      <x:c r="C17" s="63" t="str">
        <x:v>SARS-CoV-2's closest relative, RaTG13, was generated from a bat transcriptome not a fecal swab: implications for the origin of COVID-19</x:v>
      </x:c>
      <x:c r="D17" s="69" t="str">
        <x:v>U</x:v>
      </x:c>
      <x:c r="E17" s="69" t="str">
        <x:v>X</x:v>
      </x:c>
      <x:c r="F17" s="63" t="str">
        <x:v>标题主体是其他物种、动物、人类或非农业工程主题。</x:v>
      </x:c>
      <x:c r="G17" s="69" t="str">
        <x:v>X</x:v>
      </x:c>
      <x:c r="H17" s="63" t="str">
        <x:v>研究蝙蝠冠状病毒数据来源，与玉米基因功能无关。</x:v>
      </x:c>
      <x:c r="I17" s="69" t="str">
        <x:f>IF('人工复核'!F17="","",'人工复核'!F17)</x:f>
      </x:c>
      <x:c r="J17" s="69" t="str">
        <x:f>IF(I17="","待填写",IF(I17=E17,"一致","不一致"))</x:f>
        <x:v>待填写</x:v>
      </x:c>
      <x:c r="K17" s="63" t="str">
        <x:v>E边界</x:v>
      </x:c>
    </x:row>
    <x:row r="18" ht="78" customHeight="1">
      <x:c r="A18" s="61" t="str">
        <x:v>T12</x:v>
      </x:c>
      <x:c r="B18" s="61" t="str">
        <x:v>S0033</x:v>
      </x:c>
      <x:c r="C18" s="63" t="str">
        <x:v>The FAST technique: a simplified Agrobacterium-based transformation method for transient gene expression analysis in seedlings of Arabidopsis and other plant species.</x:v>
      </x:c>
      <x:c r="D18" s="69" t="str">
        <x:v>U</x:v>
      </x:c>
      <x:c r="E18" s="69" t="str">
        <x:v>X</x:v>
      </x:c>
      <x:c r="F18" s="63" t="str">
        <x:v>标题主体是其他物种、动物、人类或非农业工程主题。</x:v>
      </x:c>
      <x:c r="G18" s="69" t="str">
        <x:v>X</x:v>
      </x:c>
      <x:c r="H18" s="63" t="str">
        <x:v>方法和功能实验主体是拟南芥及其他植物，没有玉米基因或玉米材料证据。</x:v>
      </x:c>
      <x:c r="I18" s="69" t="str">
        <x:f>IF('人工复核'!F18="","",'人工复核'!F18)</x:f>
      </x:c>
      <x:c r="J18" s="69" t="str">
        <x:f>IF(I18="","待填写",IF(I18=E18,"一致","不一致"))</x:f>
        <x:v>待填写</x:v>
      </x:c>
      <x:c r="K18" s="63" t="str">
        <x:v>X边界</x:v>
      </x:c>
    </x:row>
    <x:row r="19" ht="78" customHeight="1">
      <x:c r="A19" s="61" t="str">
        <x:v>T13</x:v>
      </x:c>
      <x:c r="B19" s="61" t="str">
        <x:v>S0130</x:v>
      </x:c>
      <x:c r="C19" s="63" t="str">
        <x:v>Soil water deficit and recovery under different vegetation types on the Chinese Loess Plateau</x:v>
      </x:c>
      <x:c r="D19" s="69" t="str">
        <x:v>U</x:v>
      </x:c>
      <x:c r="E19" s="69" t="str">
        <x:v>X</x:v>
      </x:c>
      <x:c r="F19" s="63" t="str">
        <x:v>玉米仅作为底物、食品、饲料、标准、病毒宿主名称或环境背景。</x:v>
      </x:c>
      <x:c r="G19" s="69" t="str">
        <x:v>X</x:v>
      </x:c>
      <x:c r="H19" s="63" t="str">
        <x:v>研究黄土高原不同植被的土壤水分，玉米只是农田植被类型之一。</x:v>
      </x:c>
      <x:c r="I19" s="69" t="str">
        <x:f>IF('人工复核'!F19="","",'人工复核'!F19)</x:f>
      </x:c>
      <x:c r="J19" s="69" t="str">
        <x:f>IF(I19="","待填写",IF(I19=E19,"一致","不一致"))</x:f>
        <x:v>待填写</x:v>
      </x:c>
      <x:c r="K19" s="63" t="str">
        <x:v>固定随机种子；未按旧电脑标签挑选</x:v>
      </x:c>
    </x:row>
    <x:row r="20" ht="78" customHeight="1">
      <x:c r="A20" s="61" t="str">
        <x:v>T14</x:v>
      </x:c>
      <x:c r="B20" s="61" t="str">
        <x:v>S0373</x:v>
      </x:c>
      <x:c r="C20" s="63" t="str">
        <x:v>The role of the Opaque2 transcriptional factor in the regulation of protein accumulation and amino acid metabolism in maize seeds.</x:v>
      </x:c>
      <x:c r="D20" s="69" t="str">
        <x:v>U</x:v>
      </x:c>
      <x:c r="E20" s="69" t="str">
        <x:v>U</x:v>
      </x:c>
      <x:c r="F20" s="63" t="str">
        <x:v>缺摘要；仅凭标题不能确认研究对象、实验类型和证据强度。</x:v>
      </x:c>
      <x:c r="G20" s="69" t="str">
        <x:v>U</x:v>
      </x:c>
      <x:c r="H20" s="63" t="str">
        <x:v>标题高度相关于Opaque2调控，但缺摘要，无法确认是原始实验、综述还是实际证据强度。</x:v>
      </x:c>
      <x:c r="I20" s="69" t="str">
        <x:f>IF('人工复核'!F20="","",'人工复核'!F20)</x:f>
      </x:c>
      <x:c r="J20" s="69" t="str">
        <x:f>IF(I20="","待填写",IF(I20=E20,"一致","不一致"))</x:f>
        <x:v>待填写</x:v>
      </x:c>
      <x:c r="K20" s="63" t="str">
        <x:v>A边界</x:v>
      </x:c>
    </x:row>
    <x:row r="21" ht="78" customHeight="1">
      <x:c r="A21" s="61" t="str">
        <x:v>T15</x:v>
      </x:c>
      <x:c r="B21" s="61" t="str">
        <x:v>S0480</x:v>
      </x:c>
      <x:c r="C21" s="63" t="str">
        <x:v>A Co-Expression Network in Hexaploid Wheat Reveals Mostly Balanced Expression and Lack of Significant Gene Loss of Homeologous Meiotic Genes Upon Polyploidization.</x:v>
      </x:c>
      <x:c r="D21" s="69" t="str">
        <x:v>U</x:v>
      </x:c>
      <x:c r="E21" s="69" t="str">
        <x:v>X</x:v>
      </x:c>
      <x:c r="F21" s="63" t="str">
        <x:v>标题主体是其他物种、动物、人类或非农业工程主题。</x:v>
      </x:c>
      <x:c r="G21" s="69" t="str">
        <x:v>X</x:v>
      </x:c>
      <x:c r="H21" s="63" t="str">
        <x:v>共表达网络和减数分裂基因研究对象是六倍体小麦。</x:v>
      </x:c>
      <x:c r="I21" s="69" t="str">
        <x:f>IF('人工复核'!F21="","",'人工复核'!F21)</x:f>
      </x:c>
      <x:c r="J21" s="69" t="str">
        <x:f>IF(I21="","待填写",IF(I21=E21,"一致","不一致"))</x:f>
        <x:v>待填写</x:v>
      </x:c>
      <x:c r="K21" s="63" t="str">
        <x:v>固定随机种子；未按旧电脑标签挑选</x:v>
      </x:c>
    </x:row>
    <x:row r="22" ht="78" customHeight="1">
      <x:c r="A22" s="61" t="str">
        <x:v>T16</x:v>
      </x:c>
      <x:c r="B22" s="61" t="str">
        <x:v>S0378</x:v>
      </x:c>
      <x:c r="C22" s="63" t="str">
        <x:v>Physical structure and genetic organisation of the genome of maize streak virus (Kenyan isolate).</x:v>
      </x:c>
      <x:c r="D22" s="69" t="str">
        <x:v>U</x:v>
      </x:c>
      <x:c r="E22" s="69" t="str">
        <x:v>X</x:v>
      </x:c>
      <x:c r="F22" s="63" t="str">
        <x:v>玉米仅作为底物、食品、饲料、标准、病毒宿主名称或环境背景。</x:v>
      </x:c>
      <x:c r="G22" s="69" t="str">
        <x:v>X</x:v>
      </x:c>
      <x:c r="H22" s="63" t="str">
        <x:v>测序对象是玉米条纹病毒基因组，不是玉米内源基因。</x:v>
      </x:c>
      <x:c r="I22" s="69" t="str">
        <x:f>IF('人工复核'!F22="","",'人工复核'!F22)</x:f>
      </x:c>
      <x:c r="J22" s="69" t="str">
        <x:f>IF(I22="","待填写",IF(I22=E22,"一致","不一致"))</x:f>
        <x:v>待填写</x:v>
      </x:c>
      <x:c r="K22" s="63" t="str">
        <x:v>固定随机种子；未按旧电脑标签挑选</x:v>
      </x:c>
    </x:row>
    <x:row r="23" ht="78" customHeight="1">
      <x:c r="A23" s="61" t="str">
        <x:v>T17</x:v>
      </x:c>
      <x:c r="B23" s="61" t="str">
        <x:v>S0225</x:v>
      </x:c>
      <x:c r="C23" s="63" t="str">
        <x:v>Glucocorticoid and mineralocorticoid effects on adrenocorticotropin and beta-endorphin in the adrenalectomized rat.</x:v>
      </x:c>
      <x:c r="D23" s="69" t="str">
        <x:v>X</x:v>
      </x:c>
      <x:c r="E23" s="69" t="str">
        <x:v>X</x:v>
      </x:c>
      <x:c r="F23" s="63" t="str">
        <x:v>标题主体是其他物种、动物、人类或非农业工程主题。</x:v>
      </x:c>
      <x:c r="G23" s="69" t="str">
        <x:v>X</x:v>
      </x:c>
      <x:c r="H23" s="63" t="str">
        <x:v>研究去肾上腺大鼠的激素反馈；油是给药载体，不是玉米证据。</x:v>
      </x:c>
      <x:c r="I23" s="69" t="str">
        <x:f>IF('人工复核'!F23="","",'人工复核'!F23)</x:f>
      </x:c>
      <x:c r="J23" s="69" t="str">
        <x:f>IF(I23="","待填写",IF(I23=E23,"一致","不一致"))</x:f>
        <x:v>待填写</x:v>
      </x:c>
      <x:c r="K23" s="63" t="str">
        <x:v>固定随机种子；未按旧电脑标签挑选</x:v>
      </x:c>
    </x:row>
    <x:row r="24" ht="78" customHeight="1">
      <x:c r="A24" s="61" t="str">
        <x:v>T18</x:v>
      </x:c>
      <x:c r="B24" s="61" t="str">
        <x:v>S0417</x:v>
      </x:c>
      <x:c r="C24" s="63" t="str">
        <x:v>Soil Microbiota Modulates Root Transcriptome With Divergent Effect on Maize Growth Under Low and High Phosphorus Inputs.</x:v>
      </x:c>
      <x:c r="D24" s="69" t="str">
        <x:v>A</x:v>
      </x:c>
      <x:c r="E24" s="69" t="str">
        <x:v>C</x:v>
      </x:c>
      <x:c r="F24" s="63" t="str">
        <x:v>检测到玉米宿主表达、转录组或群体关联证据，但没有单基因直接扰动。</x:v>
      </x:c>
      <x:c r="G24" s="69" t="str">
        <x:v>C</x:v>
      </x:c>
      <x:c r="H24" s="63" t="str">
        <x:v>实测玉米根转录组及磷响应/防御基因的表达变化，属于宿主表达关联；未做单基因扰动。</x:v>
      </x:c>
      <x:c r="I24" s="69" t="str">
        <x:f>IF('人工复核'!F24="","",'人工复核'!F24)</x:f>
      </x:c>
      <x:c r="J24" s="69" t="str">
        <x:f>IF(I24="","待填写",IF(I24=E24,"一致","不一致"))</x:f>
        <x:v>待填写</x:v>
      </x:c>
      <x:c r="K24" s="63" t="str">
        <x:v>C边界</x:v>
      </x:c>
    </x:row>
    <x:row r="25" ht="78" customHeight="1">
      <x:c r="A25" s="61" t="str">
        <x:v>T19</x:v>
      </x:c>
      <x:c r="B25" s="61" t="str">
        <x:v>S0150</x:v>
      </x:c>
      <x:c r="C25" s="63" t="str">
        <x:v>The Putative Mesoamerican Domestication Center of Phaseolus vulgaris Is Located in the Lerma–Santiago Basin of Mexico</x:v>
      </x:c>
      <x:c r="D25" s="69" t="str">
        <x:v>U</x:v>
      </x:c>
      <x:c r="E25" s="69" t="str">
        <x:v>X</x:v>
      </x:c>
      <x:c r="F25" s="63" t="str">
        <x:v>标题主体是其他物种、动物、人类或非农业工程主题。</x:v>
      </x:c>
      <x:c r="G25" s="69" t="str">
        <x:v>X</x:v>
      </x:c>
      <x:c r="H25" s="63" t="str">
        <x:v>研究普通菜豆的驯化和遗传多样性，玉米只用于农业起源背景比较。</x:v>
      </x:c>
      <x:c r="I25" s="69" t="str">
        <x:f>IF('人工复核'!F25="","",'人工复核'!F25)</x:f>
      </x:c>
      <x:c r="J25" s="69" t="str">
        <x:f>IF(I25="","待填写",IF(I25=E25,"一致","不一致"))</x:f>
        <x:v>待填写</x:v>
      </x:c>
      <x:c r="K25" s="63" t="str">
        <x:v>固定随机种子；未按旧电脑标签挑选</x:v>
      </x:c>
    </x:row>
    <x:row r="26" ht="78" customHeight="1">
      <x:c r="A26" s="61" t="str">
        <x:v>T20</x:v>
      </x:c>
      <x:c r="B26" s="61" t="str">
        <x:v>S0262</x:v>
      </x:c>
      <x:c r="C26" s="63" t="str">
        <x:v>Estimation of the nuclear DNA content of gossypium species.</x:v>
      </x:c>
      <x:c r="D26" s="69" t="str">
        <x:v>U</x:v>
      </x:c>
      <x:c r="E26" s="69" t="str">
        <x:v>X</x:v>
      </x:c>
      <x:c r="F26" s="63" t="str">
        <x:v>玉米仅作为底物、食品、饲料、标准、病毒宿主名称或环境背景。</x:v>
      </x:c>
      <x:c r="G26" s="69" t="str">
        <x:v>X</x:v>
      </x:c>
      <x:c r="H26" s="63" t="str">
        <x:v>研究棉属核DNA含量，玉米仅作为流式细胞术标准材料。</x:v>
      </x:c>
      <x:c r="I26" s="69" t="str">
        <x:f>IF('人工复核'!F26="","",'人工复核'!F26)</x:f>
      </x:c>
      <x:c r="J26" s="69" t="str">
        <x:f>IF(I26="","待填写",IF(I26=E26,"一致","不一致"))</x:f>
        <x:v>待填写</x:v>
      </x:c>
      <x:c r="K26" s="63" t="str">
        <x:v>B边界</x:v>
      </x:c>
    </x:row>
  </x:sheetData>
  <x:conditionalFormatting sqref="J7:J26">
    <x:cfRule type="containsText" dxfId="0" priority="1" operator="containsText" text="不一致"/>
    <x:cfRule type="containsText" dxfId="1" priority="2" operator="containsText" text="一致"/>
  </x:conditionalFormatting>
  <x:pageMargins left="0.7" right="0.7" top="0.75" bottom="0.75" header="0.3" footer="0.3"/>
</x:worksheet>
</file>