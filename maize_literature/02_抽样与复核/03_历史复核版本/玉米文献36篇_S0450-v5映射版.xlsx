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a800d15998a41e7" /></Relationships>
</file>

<file path=xl/workbook.xml><?xml version="1.0" encoding="utf-8"?>
<x:workbook xmlns:x="http://schemas.openxmlformats.org/spreadsheetml/2006/main">
  <x:sheets>
    <x:sheet xmlns:r="http://schemas.openxmlformats.org/officeDocument/2006/relationships" name="36篇复核汇总" sheetId="1" r:id="R7d2e6bdd4ff24d7e"/>
    <x:sheet xmlns:r="http://schemas.openxmlformats.org/officeDocument/2006/relationships" name="S0450证据示范" sheetId="2" r:id="R8407ca1ef78c4a81"/>
    <x:sheet xmlns:r="http://schemas.openxmlformats.org/officeDocument/2006/relationships" name="原始样本记录" sheetId="3" r:id="R9dbaff7586bf455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7"/>
      <x:color rgb="FF203C2C"/>
      <x:name val="Microsoft YaHei"/>
    </x:font>
    <x:font>
      <x:sz val="11"/>
      <x:color rgb="FF20322A"/>
      <x:name val="Microsoft YaHei"/>
    </x:font>
    <x:font>
      <x:b/>
      <x:sz val="11"/>
      <x:color rgb="FFFFFFFF"/>
      <x:name val="Microsoft YaHei"/>
    </x:font>
    <x:font>
      <x:b/>
      <x:sz val="11"/>
      <x:color rgb="FF20322A"/>
      <x:name val="Microsoft YaHei"/>
    </x:font>
  </x:fonts>
  <x:fills count="4">
    <x:fill>
      <x:patternFill patternType="none"/>
    </x:fill>
    <x:fill>
      <x:patternFill patternType="gray125"/>
    </x:fill>
    <x:fill>
      <x:patternFill patternType="solid">
        <x:fgColor rgb="FF25543E"/>
      </x:patternFill>
    </x:fill>
    <x:fill>
      <x:patternFill patternType="solid">
        <x:fgColor rgb="FFFFF0C2"/>
      </x:patternFill>
    </x:fill>
  </x:fills>
  <x:borders count="1">
    <x:border>
      <x:left/>
      <x:right/>
      <x:top/>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0" fontId="2" fillId="3" borderId="0"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200" fontId="0" fillId="0" borderId="0" xfId="0" applyNumberFormat="1" applyFont="1" applyFill="1" applyBorder="1"/>
    <x:xf numFmtId="0" fontId="4" fillId="2" borderId="0" xfId="0" applyNumberFormat="1" applyFont="1" applyFill="1" applyBorder="1" applyAlignment="1">
      <x:alignment vertical="center" wrapText="1"/>
    </x:xf>
    <x:xf numFmtId="200" fontId="2" fillId="0" borderId="0" xfId="0" applyNumberFormat="1" applyFont="1" applyFill="1" applyBorder="1"/>
    <x:xf numFmtId="200" fontId="2" fillId="0" borderId="0" xfId="0" applyNumberFormat="1" applyFont="1" applyFill="1" applyBorder="1" applyAlignment="1">
      <x:alignment vertical="top"/>
    </x:xf>
    <x:xf numFmtId="0" fontId="2" fillId="2"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38b6c8c4ee43be" /><Relationship Type="http://schemas.openxmlformats.org/officeDocument/2006/relationships/theme" Target="/xl/theme/theme1.xml" Id="R15c72c861bea4eaf" /><Relationship Type="http://schemas.openxmlformats.org/officeDocument/2006/relationships/sharedStrings" Target="/xl/sharedStrings.xml" Id="R8f3ed2c3257741bf" /><Relationship Type="http://schemas.openxmlformats.org/officeDocument/2006/relationships/worksheet" Target="/xl/worksheets/sheet1.xml" Id="R7d2e6bdd4ff24d7e" /><Relationship Type="http://schemas.openxmlformats.org/officeDocument/2006/relationships/worksheet" Target="/xl/worksheets/sheet2.xml" Id="R8407ca1ef78c4a81" /><Relationship Type="http://schemas.openxmlformats.org/officeDocument/2006/relationships/worksheet" Target="/xl/worksheets/sheet3.xml" Id="R9dbaff7586bf455a" /></Relationships>
</file>

<file path=xl/tables/table1.xml><?xml version="1.0" encoding="utf-8"?>
<x:table xmlns:x="http://schemas.openxmlformats.org/spreadsheetml/2006/main" id="1" name="ReviewedThirtySixTable" displayName="ReviewedThirtySixTable" ref="A6:O42" headerRowCount="1" totalsRowCount="0" totalsRowShown="0">
  <x:tableColumns count="15">
    <x:tableColumn id="1" name="样本ID"/>
    <x:tableColumn id="2" name="中文题意"/>
    <x:tableColumn id="3" name="后续处理"/>
    <x:tableColumn id="4" name="整理后AI主标签"/>
    <x:tableColumn id="5" name="判读依据"/>
    <x:tableColumn id="6" name="人工确认标签"/>
    <x:tableColumn id="7" name="人工原意见"/>
    <x:tableColumn id="8" name="会话补充说明"/>
    <x:tableColumn id="9" name="基因/蛋白/位点线索"/>
    <x:tableColumn id="10" name="原辅助线索/补充标签"/>
    <x:tableColumn id="11" name="当前阅读范围"/>
    <x:tableColumn id="12" name="文献核查链接"/>
    <x:tableColumn id="13" name="原AI主标签"/>
    <x:tableColumn id="14" name="人工填写来源"/>
    <x:tableColumn id="15" name="来源记录键"/>
  </x:tableColumns>
  <x:tableStyleInfo name="TableStyleMedium2" showFirstColumn="0" showLastColumn="0" showRowStripes="1" showColumnStripes="0"/>
</x:table>
</file>

<file path=xl/tables/table2.xml><?xml version="1.0" encoding="utf-8"?>
<x:table xmlns:x="http://schemas.openxmlformats.org/spreadsheetml/2006/main" id="2" name="S0450EvidenceTable" displayName="S0450EvidenceTable" ref="A6:R9" headerRowCount="1" totalsRowCount="0" totalsRowShown="0">
  <x:tableColumns count="18">
    <x:tableColumn id="1" name="证据ID"/>
    <x:tableColumn id="2" name="主体"/>
    <x:tableColumn id="3" name="关系"/>
    <x:tableColumn id="4" name="对象"/>
    <x:tableColumn id="5" name="内容层次"/>
    <x:tableColumn id="6" name="你的复核意见"/>
    <x:tableColumn id="7" name="实验方式"/>
    <x:tableColumn id="8" name="材料/组织/条件"/>
    <x:tableColumn id="9" name="对照"/>
    <x:tableColumn id="10" name="原文报告结果"/>
    <x:tableColumn id="11" name="原刊基因ID/版本"/>
    <x:tableColumn id="12" name="B73 v5 ID（待核）"/>
    <x:tableColumn id="13" name="文献来源"/>
    <x:tableColumn id="14" name="原文位置"/>
    <x:tableColumn id="15" name="短摘录"/>
    <x:tableColumn id="16" name="当前状态"/>
    <x:tableColumn id="17" name="限制与待办"/>
    <x:tableColumn id="18" name="来源依赖组"/>
  </x:tableColumns>
  <x:tableStyleInfo name="TableStyleMedium2" showFirstColumn="0" showLastColumn="0" showRowStripes="1" showColumnStripes="0"/>
</x:table>
</file>

<file path=xl/tables/table3.xml><?xml version="1.0" encoding="utf-8"?>
<x:table xmlns:x="http://schemas.openxmlformats.org/spreadsheetml/2006/main" id="3" name="RawThirtySixTable" displayName="RawThirtySixTable" ref="A1:U37" headerRowCount="1" totalsRowCount="0" totalsRowShown="0">
  <x:tableColumns count="21">
    <x:tableColumn id="1" name="sample_id"/>
    <x:tableColumn id="2" name="sampling_bucket"/>
    <x:tableColumn id="3" name="year_bucket"/>
    <x:tableColumn id="4" name="abstract_present"/>
    <x:tableColumn id="5" name="source_record_key"/>
    <x:tableColumn id="6" name="doi"/>
    <x:tableColumn id="7" name="title"/>
    <x:tableColumn id="8" name="abstract"/>
    <x:tableColumn id="9" name="pmid"/>
    <x:tableColumn id="10" name="year"/>
    <x:tableColumn id="11" name="source"/>
    <x:tableColumn id="12" name="record_id"/>
    <x:tableColumn id="13" name="retrieved_at"/>
    <x:tableColumn id="14" name="primary_label"/>
    <x:tableColumn id="15" name="secondary_labels"/>
    <x:tableColumn id="16" name="maize_gene_or_locus"/>
    <x:tableColumn id="17" name="evidence_type"/>
    <x:tableColumn id="18" name="evidence_sentence_or_note"/>
    <x:tableColumn id="19" name="decision_reason"/>
    <x:tableColumn id="20" name="reviewer"/>
    <x:tableColumn id="21"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53d54d6404476c" /></Relationships>
</file>

<file path=xl/worksheets/_rels/sheet2.xml.rels>&#65279;<?xml version="1.0" encoding="utf-8"?><Relationships xmlns="http://schemas.openxmlformats.org/package/2006/relationships"><Relationship Type="http://schemas.openxmlformats.org/officeDocument/2006/relationships/table" Target="/xl/tables/table2.xml" Id="R0f898195f3ca4435" /></Relationships>
</file>

<file path=xl/worksheets/_rels/sheet3.xml.rels>&#65279;<?xml version="1.0" encoding="utf-8"?><Relationships xmlns="http://schemas.openxmlformats.org/package/2006/relationships"><Relationship Type="http://schemas.openxmlformats.org/officeDocument/2006/relationships/table" Target="/xl/tables/table3.xml" Id="R9773d5c4779e4466" /></Relationships>
</file>

<file path=xl/worksheets/sheet1.xml><?xml version="1.0" encoding="utf-8"?>
<x:worksheet xmlns:x="http://schemas.openxmlformats.org/spreadsheetml/2006/main">
  <x:sheetPr>
    <x:tabColor rgb="FF25543E"/>
  </x:sheetPr>
  <x:sheetViews>
    <x:sheetView showGridLines="0" workbookViewId="0">
      <x:pane xSplit="2" ySplit="6" topLeftCell="C7" activePane="bottomRight" state="frozen"/>
    </x:sheetView>
  </x:sheetViews>
  <x:sheetFormatPr defaultRowHeight="15"/>
  <x:cols>
    <x:col min="1" max="1" width="11" hidden="0" customWidth="1"/>
    <x:col min="2" max="2" width="40" hidden="0" customWidth="1"/>
    <x:col min="3" max="3" width="29" hidden="0" customWidth="1"/>
    <x:col min="4" max="4" width="14" hidden="0" customWidth="1"/>
    <x:col min="5" max="5" width="75" hidden="0" customWidth="1"/>
    <x:col min="6" max="6" width="15" hidden="0" customWidth="1"/>
    <x:col min="7" max="7" width="62" hidden="0" customWidth="1"/>
    <x:col min="8" max="8" width="72" hidden="0" customWidth="1"/>
    <x:col min="9" max="9" width="65" hidden="0" customWidth="1"/>
    <x:col min="10" max="10" width="30" hidden="0" customWidth="1"/>
    <x:col min="11" max="11" width="65" hidden="0" customWidth="1"/>
    <x:col min="12" max="12" width="62" hidden="0" customWidth="1"/>
    <x:col min="13" max="13" width="15" hidden="0" customWidth="1"/>
    <x:col min="14" max="14" width="78" hidden="0" customWidth="1"/>
    <x:col min="15" max="15" width="35" hidden="0" customWidth="1"/>
  </x:cols>
  <x:sheetData>
    <x:row r="2" ht="34" customHeight="1">
      <x:c r="A2" s="1" t="str">
        <x:v>玉米文献：36篇复核汇总</x:v>
      </x:c>
    </x:row>
    <x:row r="3">
      <x:c r="A3" t="str">
        <x:v>已填人工标签</x:v>
      </x:c>
      <x:c r="B3" t="n">
        <x:f>COUNTA(F7:F42)</x:f>
        <x:v>36</x:v>
      </x:c>
      <x:c r="D3" t="str">
        <x:v>待核实U</x:v>
      </x:c>
      <x:c r="E3" t="n">
        <x:f>COUNTIF(F7:F42,"U")</x:f>
        <x:v>3</x:v>
      </x:c>
      <x:c r="G3" t="str">
        <x:v>原始样本数</x:v>
      </x:c>
      <x:c r="H3" t="n">
        <x:v>500</x:v>
      </x:c>
      <x:c r="J3" t="str">
        <x:v>未复核样本</x:v>
      </x:c>
      <x:c r="K3" t="n">
        <x:f>H3-COUNTA(A7:A42)</x:f>
        <x:v>464</x:v>
      </x:c>
    </x:row>
    <x:row r="4">
      <x:c r="A4" t="str">
        <x:v>2026-10-28整理。保留用户填写；会话答复另列。此批为AI辅助人工复核，不用于估计全库相关率或模型准确率。</x:v>
      </x:c>
    </x:row>
    <x:row r="5">
      <x:c r="A5" t="str">
        <x:v>先看F列人工标签。G列保留原意见，H列补会话结论；下方46行起列判读口径。下一步看“S0450证据示范”。</x:v>
      </x:c>
    </x:row>
    <x:row r="6" ht="36" customHeight="1">
      <x:c r="A6" s="7" t="str">
        <x:v>样本ID</x:v>
      </x:c>
      <x:c r="B6" s="7" t="str">
        <x:v>中文题意</x:v>
      </x:c>
      <x:c r="C6" s="7" t="str">
        <x:v>后续处理</x:v>
      </x:c>
      <x:c r="D6" s="7" t="str">
        <x:v>整理后AI主标签</x:v>
      </x:c>
      <x:c r="E6" s="7" t="str">
        <x:v>判读依据</x:v>
      </x:c>
      <x:c r="F6" s="7" t="str">
        <x:v>人工确认标签</x:v>
      </x:c>
      <x:c r="G6" s="7" t="str">
        <x:v>人工原意见</x:v>
      </x:c>
      <x:c r="H6" s="7" t="str">
        <x:v>会话补充说明</x:v>
      </x:c>
      <x:c r="I6" s="7" t="str">
        <x:v>基因/蛋白/位点线索</x:v>
      </x:c>
      <x:c r="J6" s="7" t="str">
        <x:v>原辅助线索/补充标签</x:v>
      </x:c>
      <x:c r="K6" s="7" t="str">
        <x:v>当前阅读范围</x:v>
      </x:c>
      <x:c r="L6" s="7" t="str">
        <x:v>文献核查链接</x:v>
      </x:c>
      <x:c r="M6" s="7" t="str">
        <x:v>原AI主标签</x:v>
      </x:c>
      <x:c r="N6" s="7" t="str">
        <x:v>人工填写来源</x:v>
      </x:c>
      <x:c r="O6" s="7" t="str">
        <x:v>来源记录键</x:v>
      </x:c>
    </x:row>
    <x:row r="7" ht="140" customHeight="1">
      <x:c r="A7" s="4" t="str">
        <x:v>S0313</x:v>
      </x:c>
      <x:c r="B7" s="4" t="str">
        <x:v>以数量性状位点表征的玉米植株</x:v>
      </x:c>
      <x:c r="C7" s="4" t="str">
        <x:v>保留关联层，核对位点/材料</x:v>
      </x:c>
      <x:c r="D7" s="4" t="str">
        <x:v>C</x:v>
      </x:c>
      <x:c r="E7" s="4" t="str">
        <x:v>联网核查专利实例1–3，确认有玉米群体、SSR分型、田间性状和QTL定位，可纳入C层；单基因功能尚未确立。</x:v>
      </x:c>
      <x:c r="F7" s="8" t="str">
        <x:v>C</x:v>
      </x:c>
      <x:c r="G7" s="8" t="str">
        <x:v>C</x:v>
      </x:c>
      <x:c r="H7" s="4" t="str"/>
      <x:c r="I7" s="4" t="str">
        <x:v>QTL/SSR标记；亲本M3047/1与M3047/2</x:v>
      </x:c>
      <x:c r="J7" s="4" t="str">
        <x:v>C（候选）</x:v>
      </x:c>
      <x:c r="K7" s="4" t="str">
        <x:v>专利全文：实例1–3及性状/标记表</x:v>
      </x:c>
      <x:c r="L7" s="4" t="str">
        <x:v>https://patents.google.com/patent/EP2242850A1/en</x:v>
      </x:c>
      <x:c r="M7" s="4" t="str">
        <x:v>C</x:v>
      </x:c>
      <x:c r="N7" s="4" t="str">
        <x:v>玉米文献30篇_学校全文复核版.xlsx / 逐篇判断!F7；意见见玉米文献30篇_学校全文复核版.xlsx / 联网核查8篇!P7</x:v>
      </x:c>
      <x:c r="O7" s="4" t="str">
        <x:v>PAT:EP2242850</x:v>
      </x:c>
    </x:row>
    <x:row r="8" ht="140" customHeight="1">
      <x:c r="A8" s="4" t="str">
        <x:v>S0221</x:v>
      </x:c>
      <x:c r="B8" s="4" t="str">
        <x:v>正常与低氮条件下优质蛋白玉米杂交种的蛋白组成</x:v>
      </x:c>
      <x:c r="C8" s="4" t="str">
        <x:v>不入核心关系，保留原始文献</x:v>
      </x:c>
      <x:c r="D8" s="4" t="str">
        <x:v>X</x:v>
      </x:c>
      <x:c r="E8" s="4" t="str">
        <x:v>目标全文已取得。本文提供杂交种、环境与蛋白组分的实测结果，但未建立具体基因的直接功能证据。按当前单基因核心筛选口径建议X，保留蛋白品质背景；o2功能需回溯原始论文。</x:v>
      </x:c>
      <x:c r="F8" s="8" t="str">
        <x:v>X</x:v>
      </x:c>
      <x:c r="G8" s="8" t="str">
        <x:v>X</x:v>
      </x:c>
      <x:c r="H8" s="4" t="str"/>
      <x:c r="I8" s="4" t="str">
        <x:v>10个QPM杂交种、2个非QPM对照；α/β/γ-zein组分，未解析到具体基因</x:v>
      </x:c>
      <x:c r="J8" s="4" t="str">
        <x:v>B/C（候选）</x:v>
      </x:c>
      <x:c r="K8" s="4" t="str">
        <x:v>经华中农业大学Wiley入口读取目标期刊全文及10页PDF阅读器，重点核对2.1–2.6、结果和讨论</x:v>
      </x:c>
      <x:c r="L8" s="4" t="str">
        <x:v>https://doi.org/10.1002/cche.10390</x:v>
      </x:c>
      <x:c r="M8" s="4" t="str">
        <x:v>X</x:v>
      </x:c>
      <x:c r="N8" s="4" t="str">
        <x:v>玉米文献30篇_学校全文复核版.xlsx / 逐篇判断!F8；意见见玉米文献30篇_学校全文复核版.xlsx / 联网核查8篇!P8</x:v>
      </x:c>
      <x:c r="O8" s="4" t="str">
        <x:v>AGR:IND607866977</x:v>
      </x:c>
    </x:row>
    <x:row r="9" ht="140" customHeight="1">
      <x:c r="A9" s="4" t="str">
        <x:v>S0137</x:v>
      </x:c>
      <x:c r="B9" s="4" t="str">
        <x:v>细菌Cry2A毒素与棉铃虫类昆虫肠道受体的结合</x:v>
      </x:c>
      <x:c r="C9" s="4" t="str">
        <x:v>不入核心关系，保留原始文献</x:v>
      </x:c>
      <x:c r="D9" s="4" t="str">
        <x:v>X</x:v>
      </x:c>
      <x:c r="E9" s="4" t="str">
        <x:v>实验对象是细菌毒素和昆虫肠道，Helicoverpa zea是昆虫名。摘要没有玉米自身基因功能证据。</x:v>
      </x:c>
      <x:c r="F9" s="8" t="str">
        <x:v>X</x:v>
      </x:c>
      <x:c r="G9" s="8"/>
      <x:c r="H9" s="4" t="str"/>
      <x:c r="I9" s="4" t="str">
        <x:v>细菌Cry2Aa/Cry2Ab/Cry2Ae；昆虫Helicoverpa</x:v>
      </x:c>
      <x:c r="J9" s="4"/>
      <x:c r="K9" s="4" t="str">
        <x:v>原标题摘要初筛；未新增目标全文核查</x:v>
      </x:c>
      <x:c r="L9" s="4" t="str">
        <x:v>https://doi.org/10.1128/aem.01373-08</x:v>
      </x:c>
      <x:c r="M9" s="4" t="str">
        <x:v>X</x:v>
      </x:c>
      <x:c r="N9" s="4" t="str">
        <x:v>玉米文献30篇_学校全文复核版.xlsx / 逐篇判断!F9</x:v>
      </x:c>
      <x:c r="O9" s="4" t="str">
        <x:v>MED:18931285</x:v>
      </x:c>
    </x:row>
    <x:row r="10" ht="140" customHeight="1">
      <x:c r="A10" s="4" t="str">
        <x:v>S0244</x:v>
      </x:c>
      <x:c r="B10" s="4" t="str">
        <x:v>小麦低温下蔗糖合酶表达及单克隆抗体研究</x:v>
      </x:c>
      <x:c r="C10" s="4" t="str">
        <x:v>保留待核实，暂不作确定标签</x:v>
      </x:c>
      <x:c r="D10" s="4" t="str">
        <x:v>U</x:v>
      </x:c>
      <x:c r="E10" s="4" t="str">
        <x:v>玉米蛋白交叉反应线索可确认，但未取得可读取全文，无法确定玉米同工酶身份以及是否有可入库的功能实验。</x:v>
      </x:c>
      <x:c r="F10" s="8" t="str">
        <x:v>U</x:v>
      </x:c>
      <x:c r="G10" s="8" t="str">
        <x:v>U后续获取全文核实，目前来看仍有可能作为证据,但是否为同源基因可以直接迁移有待考证</x:v>
      </x:c>
      <x:c r="H10" s="4" t="str"/>
      <x:c r="I10" s="4" t="str">
        <x:v>玉米sucrose synthetase，具体同工酶未知</x:v>
      </x:c>
      <x:c r="J10" s="4" t="str">
        <x:v>A（蛋白层候选）</x:v>
      </x:c>
      <x:c r="K10" s="4" t="str">
        <x:v>PubMed摘要与出版社检索信息</x:v>
      </x:c>
      <x:c r="L10" s="4" t="str">
        <x:v>https://pubmed.ncbi.nlm.nih.gov/1828354/</x:v>
      </x:c>
      <x:c r="M10" s="4" t="str">
        <x:v>U</x:v>
      </x:c>
      <x:c r="N10" s="4" t="str">
        <x:v>玉米文献30篇_学校全文复核版.xlsx / 逐篇判断!F10；意见见玉米文献30篇_学校全文复核版.xlsx / 联网核查8篇!P9</x:v>
      </x:c>
      <x:c r="O10" s="4" t="str">
        <x:v>MED:1828354</x:v>
      </x:c>
    </x:row>
    <x:row r="11" ht="140" customHeight="1">
      <x:c r="A11" s="4" t="str">
        <x:v>S0238</x:v>
      </x:c>
      <x:c r="B11" s="4" t="str">
        <x:v>用人淋巴细胞检测真菌毒素细胞毒性</x:v>
      </x:c>
      <x:c r="C11" s="4" t="str">
        <x:v>不入核心关系，保留原始文献</x:v>
      </x:c>
      <x:c r="D11" s="4" t="str">
        <x:v>X</x:v>
      </x:c>
      <x:c r="E11" s="4" t="str">
        <x:v>研究人细胞的毒性检测方法，谷物是检测样品背景，没有玉米基因、位点或蛋白功能关系。</x:v>
      </x:c>
      <x:c r="F11" s="8" t="str">
        <x:v>X</x:v>
      </x:c>
      <x:c r="G11" s="8"/>
      <x:c r="H11" s="4" t="str"/>
      <x:c r="I11" s="4" t="str">
        <x:v>人淋巴细胞；真菌毒素</x:v>
      </x:c>
      <x:c r="J11" s="4"/>
      <x:c r="K11" s="4" t="str">
        <x:v>原标题摘要初筛；未新增目标全文核查</x:v>
      </x:c>
      <x:c r="L11" s="4" t="str">
        <x:v>https://doi.org/10.3390/ijms9081515</x:v>
      </x:c>
      <x:c r="M11" s="4" t="str">
        <x:v>X</x:v>
      </x:c>
      <x:c r="N11" s="4" t="str">
        <x:v>玉米文献30篇_学校全文复核版.xlsx / 逐篇判断!F11</x:v>
      </x:c>
      <x:c r="O11" s="4" t="str">
        <x:v>MED:19325818</x:v>
      </x:c>
    </x:row>
    <x:row r="12" ht="140" customHeight="1">
      <x:c r="A12" s="4" t="str">
        <x:v>S0351</x:v>
      </x:c>
      <x:c r="B12" s="4" t="str">
        <x:v>非洲玉米多营养素生物强化的现状与限制</x:v>
      </x:c>
      <x:c r="C12" s="4" t="str">
        <x:v>追溯原始实验论文</x:v>
      </x:c>
      <x:c r="D12" s="4" t="str">
        <x:v>R</x:v>
      </x:c>
      <x:c r="E12" s="4" t="str">
        <x:v>摘要明确自称综述，主题与玉米营养品质相关。可追溯营养代谢与育种的原始论文，综述陈述不直接视为本篇功能实验。</x:v>
      </x:c>
      <x:c r="F12" s="8" t="str">
        <x:v>R</x:v>
      </x:c>
      <x:c r="G12" s="8"/>
      <x:c r="H12" s="4" t="str"/>
      <x:c r="I12" s="4" t="str">
        <x:v>锌、维生素A前体、色氨酸相关方向；摘要未列基因</x:v>
      </x:c>
      <x:c r="J12" s="4"/>
      <x:c r="K12" s="4" t="str">
        <x:v>原标题摘要初筛；未新增目标全文核查</x:v>
      </x:c>
      <x:c r="L12" s="4" t="str">
        <x:v>https://doi.org/10.3390/nu13031039</x:v>
      </x:c>
      <x:c r="M12" s="4" t="str">
        <x:v>R</x:v>
      </x:c>
      <x:c r="N12" s="4" t="str">
        <x:v>玉米文献30篇_学校全文复核版.xlsx / 逐篇判断!F12</x:v>
      </x:c>
      <x:c r="O12" s="4" t="str">
        <x:v>MED:33807073</x:v>
      </x:c>
    </x:row>
    <x:row r="13" ht="140" customHeight="1">
      <x:c r="A13" s="4" t="str">
        <x:v>S0479</x:v>
      </x:c>
      <x:c r="B13" s="4" t="str">
        <x:v>番茄红素对肥胖大鼠肾脏炎症的影响</x:v>
      </x:c>
      <x:c r="C13" s="4" t="str">
        <x:v>不入核心关系，保留原始文献</x:v>
      </x:c>
      <x:c r="D13" s="4" t="str">
        <x:v>X</x:v>
      </x:c>
      <x:c r="E13" s="4" t="str">
        <x:v>功能实验发生在大鼠，玉米油只是对照或载体。不能把大鼠基因关系归入玉米。</x:v>
      </x:c>
      <x:c r="F13" s="8" t="str">
        <x:v>X</x:v>
      </x:c>
      <x:c r="G13" s="8"/>
      <x:c r="H13" s="4" t="str"/>
      <x:c r="I13" s="4" t="str">
        <x:v>大鼠TNF-α/RAGE；玉米油为给药材料</x:v>
      </x:c>
      <x:c r="J13" s="4"/>
      <x:c r="K13" s="4" t="str">
        <x:v>原标题摘要初筛；未新增目标全文核查</x:v>
      </x:c>
      <x:c r="L13" s="4" t="str">
        <x:v>https://doi.org/10.1038/nutd.2014.39</x:v>
      </x:c>
      <x:c r="M13" s="4" t="str">
        <x:v>X</x:v>
      </x:c>
      <x:c r="N13" s="4" t="str">
        <x:v>玉米文献30篇_学校全文复核版.xlsx / 逐篇判断!F13</x:v>
      </x:c>
      <x:c r="O13" s="4" t="str">
        <x:v>MED:25383746</x:v>
      </x:c>
    </x:row>
    <x:row r="14" ht="140" customHeight="1">
      <x:c r="A14" s="4" t="str">
        <x:v>S0106</x:v>
      </x:c>
      <x:c r="B14" s="4" t="str">
        <x:v>细菌种子处理对大豆胞囊线虫的防治效果</x:v>
      </x:c>
      <x:c r="C14" s="4" t="str">
        <x:v>不入核心关系，保留原始文献</x:v>
      </x:c>
      <x:c r="D14" s="4" t="str">
        <x:v>X</x:v>
      </x:c>
      <x:c r="E14" s="4" t="str">
        <x:v>研究大豆与线虫防治，摘要没有玉米基因证据。品种抗病性也不能迁移为玉米基因功能。</x:v>
      </x:c>
      <x:c r="F14" s="8" t="str">
        <x:v>X</x:v>
      </x:c>
      <x:c r="G14" s="8"/>
      <x:c r="H14" s="4" t="str"/>
      <x:c r="I14" s="4" t="str">
        <x:v>大豆；Pseudomonas cepacia；Heterodera glycines</x:v>
      </x:c>
      <x:c r="J14" s="4"/>
      <x:c r="K14" s="4" t="str">
        <x:v>原标题摘要初筛；未新增目标全文核查</x:v>
      </x:c>
      <x:c r="L14" s="4" t="str">
        <x:v>https://pubmed.ncbi.nlm.nih.gov/19287798/</x:v>
      </x:c>
      <x:c r="M14" s="4" t="str">
        <x:v>X</x:v>
      </x:c>
      <x:c r="N14" s="4" t="str">
        <x:v>玉米文献30篇_学校全文复核版.xlsx / 逐篇判断!F14</x:v>
      </x:c>
      <x:c r="O14" s="4" t="str">
        <x:v>MED:19287798</x:v>
      </x:c>
    </x:row>
    <x:row r="15" ht="140" customHeight="1">
      <x:c r="A15" s="4" t="str">
        <x:v>S0122</x:v>
      </x:c>
      <x:c r="B15" s="4" t="str">
        <x:v>含锌长链醇脱氢酶基因的分子进化</x:v>
      </x:c>
      <x:c r="C15" s="4" t="str">
        <x:v>保留计算/同源证据层</x:v>
      </x:c>
      <x:c r="D15" s="4" t="str">
        <x:v>D</x:v>
      </x:c>
      <x:c r="E15" s="4" t="str">
        <x:v>明确把两条玉米ADH基因序列纳入系统发育和替换率分析，适合基因演化/同源证据层。没有玉米功能扰动验证。</x:v>
      </x:c>
      <x:c r="F15" s="8" t="str">
        <x:v>D</x:v>
      </x:c>
      <x:c r="G15" s="8"/>
      <x:c r="H15" s="4" t="str"/>
      <x:c r="I15" s="4" t="str">
        <x:v>玉米ADH基因2个；摘要未列具体编号</x:v>
      </x:c>
      <x:c r="J15" s="4"/>
      <x:c r="K15" s="4" t="str">
        <x:v>原标题摘要初筛；未新增目标全文核查</x:v>
      </x:c>
      <x:c r="L15" s="4" t="str">
        <x:v>https://doi.org/10.1093/oxfordjournals.molbev.a040593</x:v>
      </x:c>
      <x:c r="M15" s="4" t="str">
        <x:v>D</x:v>
      </x:c>
      <x:c r="N15" s="4" t="str">
        <x:v>玉米文献30篇_学校全文复核版.xlsx / 逐篇判断!F15</x:v>
      </x:c>
      <x:c r="O15" s="4" t="str">
        <x:v>MED:2319942</x:v>
      </x:c>
    </x:row>
    <x:row r="16" ht="140" customHeight="1">
      <x:c r="A16" s="4" t="str">
        <x:v>S0288</x:v>
      </x:c>
      <x:c r="B16" s="4" t="str">
        <x:v>啤酒污泥与复合肥对玉米产量的田间数据</x:v>
      </x:c>
      <x:c r="C16" s="4" t="str">
        <x:v>不入核心关系，保留原始文献</x:v>
      </x:c>
      <x:c r="D16" s="4" t="str">
        <x:v>X</x:v>
      </x:c>
      <x:c r="E16" s="4" t="str">
        <x:v>虽是数据论文，但数据单位是施肥处理与产量，没有基因、分子组学或遗传位点。E标签需限定为与功能字典相关的资源。</x:v>
      </x:c>
      <x:c r="F16" s="8" t="str">
        <x:v>X</x:v>
      </x:c>
      <x:c r="G16" s="8"/>
      <x:c r="H16" s="4" t="str"/>
      <x:c r="I16" s="4" t="str">
        <x:v>肥料处理、产量与农艺指标</x:v>
      </x:c>
      <x:c r="J16" s="4"/>
      <x:c r="K16" s="4" t="str">
        <x:v>原标题摘要初筛；未新增目标全文核查</x:v>
      </x:c>
      <x:c r="L16" s="4" t="str">
        <x:v>https://doi.org/10.1016/j.dib.2023.109707</x:v>
      </x:c>
      <x:c r="M16" s="4" t="str">
        <x:v>X</x:v>
      </x:c>
      <x:c r="N16" s="4" t="str">
        <x:v>玉米文献30篇_学校全文复核版.xlsx / 逐篇判断!F16</x:v>
      </x:c>
      <x:c r="O16" s="4" t="str">
        <x:v>MED:37965600</x:v>
      </x:c>
    </x:row>
    <x:row r="17" ht="140" customHeight="1">
      <x:c r="A17" s="4" t="str">
        <x:v>S0411</x:v>
      </x:c>
      <x:c r="B17" s="4" t="str">
        <x:v>玉米相关细菌群落的组成与生防功能</x:v>
      </x:c>
      <x:c r="C17" s="4" t="str">
        <x:v>不入核心关系，保留原始文献</x:v>
      </x:c>
      <x:c r="D17" s="4" t="str">
        <x:v>X</x:v>
      </x:c>
      <x:c r="E17" s="4" t="str">
        <x:v>测序、培养与功能实验针对玉米伴生细菌，摘要未关联玉米宿主基因。菌株编号中的ZM不代表玉米基因。</x:v>
      </x:c>
      <x:c r="F17" s="8" t="str">
        <x:v>X</x:v>
      </x:c>
      <x:c r="G17" s="8"/>
      <x:c r="H17" s="4" t="str"/>
      <x:c r="I17" s="4" t="str">
        <x:v>Pseudomonas/Pantoea等细菌；PHM-1杂交种</x:v>
      </x:c>
      <x:c r="J17" s="4"/>
      <x:c r="K17" s="4" t="str">
        <x:v>原标题摘要初筛；未新增目标全文核查</x:v>
      </x:c>
      <x:c r="L17" s="4" t="str">
        <x:v>https://doi.org/10.1007/s00203-026-05174-0</x:v>
      </x:c>
      <x:c r="M17" s="4" t="str">
        <x:v>X</x:v>
      </x:c>
      <x:c r="N17" s="4" t="str">
        <x:v>玉米文献30篇_学校全文复核版.xlsx / 逐篇判断!F17</x:v>
      </x:c>
      <x:c r="O17" s="4" t="str">
        <x:v>MED:42742736</x:v>
      </x:c>
    </x:row>
    <x:row r="18" ht="140" customHeight="1">
      <x:c r="A18" s="4" t="str">
        <x:v>S0117</x:v>
      </x:c>
      <x:c r="B18" s="4" t="str">
        <x:v>玉米杂交种磷积累差异的化学组成基础</x:v>
      </x:c>
      <x:c r="C18" s="4" t="str">
        <x:v>不入核心关系，保留原始文献</x:v>
      </x:c>
      <x:c r="D18" s="4" t="str">
        <x:v>X</x:v>
      </x:c>
      <x:c r="E18" s="4" t="str">
        <x:v>全文确认是两个高/低磷积累杂交种的代谢与磷吸收比较。结论提出可能存在遗传性吸收差异，但没有单基因验证或位点关联。建议X，保留磷营养表型背景。</x:v>
      </x:c>
      <x:c r="F18" s="8" t="str">
        <x:v>X</x:v>
      </x:c>
      <x:c r="G18" s="8" t="str">
        <x:v>X</x:v>
      </x:c>
      <x:c r="H18" s="4" t="str"/>
      <x:c r="I18" s="4" t="str">
        <x:v>Ia B6×Pa 83；Pa 94×Pa 881P；正磷酸盐积累，未定位基因</x:v>
      </x:c>
      <x:c r="J18" s="4" t="str">
        <x:v>B（背景候选）</x:v>
      </x:c>
      <x:c r="K18" s="4" t="str">
        <x:v>经华中农业大学Wiley/ACSESS入口读取3页PDF阅读器，核对541–543页材料、方法、图表和讨论</x:v>
      </x:c>
      <x:c r="L18" s="4" t="str">
        <x:v>https://doi.org/10.2134/agronj1971.00021962006300040008x</x:v>
      </x:c>
      <x:c r="M18" s="4" t="str">
        <x:v>X</x:v>
      </x:c>
      <x:c r="N18" s="4" t="str">
        <x:v>玉米文献30篇_学校全文复核版.xlsx / 逐篇判断!F18；意见见玉米文献30篇_学校全文复核版.xlsx / 联网核查8篇!P10</x:v>
      </x:c>
      <x:c r="O18" s="4" t="str">
        <x:v>AGR:9915992290307426</x:v>
      </x:c>
    </x:row>
    <x:row r="19" ht="140" customHeight="1">
      <x:c r="A19" s="4" t="str">
        <x:v>S0316</x:v>
      </x:c>
      <x:c r="B19" s="4" t="str">
        <x:v>预水解与酶解后玉米秸秆的化学结构</x:v>
      </x:c>
      <x:c r="C19" s="4" t="str">
        <x:v>不入核心关系，保留原始文献</x:v>
      </x:c>
      <x:c r="D19" s="4" t="str">
        <x:v>X</x:v>
      </x:c>
      <x:c r="E19" s="4" t="str">
        <x:v>研究工业加工前后的化学结构，酶用于处理底物，没有玉米基因干预或功能关系。</x:v>
      </x:c>
      <x:c r="F19" s="8" t="str">
        <x:v>X</x:v>
      </x:c>
      <x:c r="G19" s="8"/>
      <x:c r="H19" s="4" t="str"/>
      <x:c r="I19" s="4" t="str">
        <x:v>玉米秸秆、木质素与碳水化合物</x:v>
      </x:c>
      <x:c r="J19" s="4"/>
      <x:c r="K19" s="4" t="str">
        <x:v>原标题摘要初筛；未新增目标全文核查</x:v>
      </x:c>
      <x:c r="L19" s="4" t="str">
        <x:v>https://doi.org/10.1021/jf102514r</x:v>
      </x:c>
      <x:c r="M19" s="4" t="str">
        <x:v>X</x:v>
      </x:c>
      <x:c r="N19" s="4" t="str">
        <x:v>玉米文献30篇_学校全文复核版.xlsx / 逐篇判断!F19</x:v>
      </x:c>
      <x:c r="O19" s="4" t="str">
        <x:v>MED:20973482</x:v>
      </x:c>
    </x:row>
    <x:row r="20" ht="140" customHeight="1">
      <x:c r="A20" s="4" t="str">
        <x:v>S0489</x:v>
      </x:c>
      <x:c r="B20" s="4" t="str">
        <x:v>玉米内生真菌对小麦赤霉病菌的生防作用</x:v>
      </x:c>
      <x:c r="C20" s="4" t="str">
        <x:v>不入核心关系，保留原始文献</x:v>
      </x:c>
      <x:c r="D20" s="4" t="str">
        <x:v>X</x:v>
      </x:c>
      <x:c r="E20" s="4" t="str">
        <x:v>真菌从玉米叶片分离，但鉴定序列属于真菌，生防实验主要在小麦。未提供玉米宿主基因证据。</x:v>
      </x:c>
      <x:c r="F20" s="8" t="str">
        <x:v>X</x:v>
      </x:c>
      <x:c r="G20" s="8"/>
      <x:c r="H20" s="4" t="str"/>
      <x:c r="I20" s="4" t="str">
        <x:v>Epicoccum nigrum 38L1；真菌ITS/LSU/TUB</x:v>
      </x:c>
      <x:c r="J20" s="4"/>
      <x:c r="K20" s="4" t="str">
        <x:v>原标题摘要初筛；未新增目标全文核查</x:v>
      </x:c>
      <x:c r="L20" s="4" t="str">
        <x:v>https://doi.org/10.1016/j.biocontrol.2022.105010</x:v>
      </x:c>
      <x:c r="M20" s="4" t="str">
        <x:v>X</x:v>
      </x:c>
      <x:c r="N20" s="4" t="str">
        <x:v>玉米文献30篇_学校全文复核版.xlsx / 逐篇判断!F20</x:v>
      </x:c>
      <x:c r="O20" s="4" t="str">
        <x:v>AGR:IND607875111</x:v>
      </x:c>
    </x:row>
    <x:row r="21" ht="140" customHeight="1">
      <x:c r="A21" s="4" t="str">
        <x:v>S0436</x:v>
      </x:c>
      <x:c r="B21" s="4" t="str">
        <x:v>玉米驯化位点tb1在大刍草中的自然变异</x:v>
      </x:c>
      <x:c r="C21" s="4" t="str">
        <x:v>保留关联层，核对位点/材料</x:v>
      </x:c>
      <x:c r="D21" s="4" t="str">
        <x:v>C</x:v>
      </x:c>
      <x:c r="E21" s="4" t="str">
        <x:v>涉及玉米/大刍草tb1位点的群体遗传与表型。新的温室结果没有检测到Hopscotch与分蘖的强关联。玉米中已知的作用在摘要中是背景引用。</x:v>
      </x:c>
      <x:c r="F21" s="8" t="str">
        <x:v>C</x:v>
      </x:c>
      <x:c r="G21" s="8"/>
      <x:c r="H21" s="4" t="str"/>
      <x:c r="I21" s="4" t="str">
        <x:v>tb1；上游Hopscotch转座元件</x:v>
      </x:c>
      <x:c r="J21" s="4" t="str">
        <x:v>B</x:v>
      </x:c>
      <x:c r="K21" s="4" t="str">
        <x:v>原标题摘要初筛；未新增目标全文核查</x:v>
      </x:c>
      <x:c r="L21" s="4" t="str">
        <x:v>https://doi.org/10.7287/peerj.preprints.685v1</x:v>
      </x:c>
      <x:c r="M21" s="4" t="str">
        <x:v>C</x:v>
      </x:c>
      <x:c r="N21" s="4" t="str">
        <x:v>玉米文献30篇_学校全文复核版.xlsx / 逐篇判断!F21</x:v>
      </x:c>
      <x:c r="O21" s="4" t="str">
        <x:v>PPR:PPR39568</x:v>
      </x:c>
    </x:row>
    <x:row r="22" ht="140" customHeight="1">
      <x:c r="A22" s="4" t="str">
        <x:v>S0093</x:v>
      </x:c>
      <x:c r="B22" s="4" t="str">
        <x:v>中国耕作方式影响小麦与玉米产量的荟萃分析</x:v>
      </x:c>
      <x:c r="C22" s="4" t="str">
        <x:v>不入核心关系，保留原始文献</x:v>
      </x:c>
      <x:c r="D22" s="4" t="str">
        <x:v>X</x:v>
      </x:c>
      <x:c r="E22" s="4" t="str">
        <x:v>文章类型是荟萃分析，但主题是耕作管理，没有基因或位点证据。先判断项目相关性，再判断是否为相关综述R。</x:v>
      </x:c>
      <x:c r="F22" s="8" t="str">
        <x:v>X</x:v>
      </x:c>
      <x:c r="G22" s="8"/>
      <x:c r="H22" s="4" t="str"/>
      <x:c r="I22" s="4" t="str">
        <x:v>耕作处理、气候、产量</x:v>
      </x:c>
      <x:c r="J22" s="4"/>
      <x:c r="K22" s="4" t="str">
        <x:v>原标题摘要初筛；未新增目标全文核查</x:v>
      </x:c>
      <x:c r="L22" s="4" t="str"/>
      <x:c r="M22" s="4" t="str">
        <x:v>X</x:v>
      </x:c>
      <x:c r="N22" s="4" t="str">
        <x:v>玉米文献30篇_学校全文复核版.xlsx / 逐篇判断!F22</x:v>
      </x:c>
      <x:c r="O22" s="4" t="str">
        <x:v>AGR:IND609101513</x:v>
      </x:c>
    </x:row>
    <x:row r="23" ht="140" customHeight="1">
      <x:c r="A23" s="4" t="str">
        <x:v>S0314</x:v>
      </x:c>
      <x:c r="B23" s="4" t="str">
        <x:v>遮阴对大豆碳积累与抗氧化活性的影响</x:v>
      </x:c>
      <x:c r="C23" s="4" t="str">
        <x:v>不入核心关系，保留原始文献</x:v>
      </x:c>
      <x:c r="D23" s="4" t="str">
        <x:v>X</x:v>
      </x:c>
      <x:c r="E23" s="4" t="str">
        <x:v>生理与酶活测定对象是大豆。玉米造成遮阴或用于解释种植背景，不能把这些酶学结果挂到玉米基因。</x:v>
      </x:c>
      <x:c r="F23" s="8" t="str">
        <x:v>X</x:v>
      </x:c>
      <x:c r="G23" s="8"/>
      <x:c r="H23" s="4" t="str"/>
      <x:c r="I23" s="4" t="str">
        <x:v>大豆SOD/POD/CAT/APX；玉米为间作背景</x:v>
      </x:c>
      <x:c r="J23" s="4"/>
      <x:c r="K23" s="4" t="str">
        <x:v>原标题摘要初筛；未新增目标全文核查</x:v>
      </x:c>
      <x:c r="L23" s="4" t="str">
        <x:v>https://doi.org/10.1071/fp19213</x:v>
      </x:c>
      <x:c r="M23" s="4" t="str">
        <x:v>X</x:v>
      </x:c>
      <x:c r="N23" s="4" t="str">
        <x:v>玉米文献30篇_学校全文复核版.xlsx / 逐篇判断!F23</x:v>
      </x:c>
      <x:c r="O23" s="4" t="str">
        <x:v>MED:32040939</x:v>
      </x:c>
    </x:row>
    <x:row r="24" ht="140" customHeight="1">
      <x:c r="A24" s="4" t="str">
        <x:v>S0477</x:v>
      </x:c>
      <x:c r="B24" s="4" t="str">
        <x:v>加工对珍珠粟碳水化合物品质与消化率的影响</x:v>
      </x:c>
      <x:c r="C24" s="4" t="str">
        <x:v>不入核心关系，保留原始文献</x:v>
      </x:c>
      <x:c r="D24" s="4" t="str">
        <x:v>X</x:v>
      </x:c>
      <x:c r="E24" s="4" t="str">
        <x:v>标题和现有摘要明确研究珍珠粟食品加工，玉米仅作营养比较，未见玉米基因证据。</x:v>
      </x:c>
      <x:c r="F24" s="8" t="str">
        <x:v>X</x:v>
      </x:c>
      <x:c r="G24" s="8"/>
      <x:c r="H24" s="4" t="str"/>
      <x:c r="I24" s="4" t="str">
        <x:v>珍珠粟；加工与消化实验</x:v>
      </x:c>
      <x:c r="J24" s="4"/>
      <x:c r="K24" s="4" t="str">
        <x:v>原标题摘要初筛；未新增目标全文核查</x:v>
      </x:c>
      <x:c r="L24" s="4" t="str"/>
      <x:c r="M24" s="4" t="str">
        <x:v>X</x:v>
      </x:c>
      <x:c r="N24" s="4" t="str">
        <x:v>玉米文献30篇_学校全文复核版.xlsx / 逐篇判断!F24</x:v>
      </x:c>
      <x:c r="O24" s="4" t="str">
        <x:v>ETH:787381</x:v>
      </x:c>
    </x:row>
    <x:row r="25" ht="140" customHeight="1">
      <x:c r="A25" s="4" t="str">
        <x:v>S0409</x:v>
      </x:c>
      <x:c r="B25" s="4" t="str">
        <x:v>玉米共功能网络MaizeNet及候选基因排序平台</x:v>
      </x:c>
      <x:c r="C25" s="4" t="str">
        <x:v>保留方法与资源</x:v>
      </x:c>
      <x:c r="D25" s="4" t="str">
        <x:v>E</x:v>
      </x:c>
      <x:c r="E25" s="4" t="str">
        <x:v>明确提供玉米全基因组共功能网络与网站，直接服务基因功能和候选排序。网络边和预测结果属于计算/关联证据。</x:v>
      </x:c>
      <x:c r="F25" s="8" t="str">
        <x:v>E</x:v>
      </x:c>
      <x:c r="G25" s="8"/>
      <x:c r="H25" s="4" t="str"/>
      <x:c r="I25" s="4" t="str">
        <x:v>MaizeNet；B73 RefGen_v3/v4基因模型</x:v>
      </x:c>
      <x:c r="J25" s="4" t="str">
        <x:v>D/C</x:v>
      </x:c>
      <x:c r="K25" s="4" t="str">
        <x:v>原标题摘要初筛；未新增目标全文核查</x:v>
      </x:c>
      <x:c r="L25" s="4" t="str">
        <x:v>https://doi.org/10.1111/tpj.14341</x:v>
      </x:c>
      <x:c r="M25" s="4" t="str">
        <x:v>E</x:v>
      </x:c>
      <x:c r="N25" s="4" t="str">
        <x:v>玉米文献30篇_学校全文复核版.xlsx / 逐篇判断!F25</x:v>
      </x:c>
      <x:c r="O25" s="4" t="str">
        <x:v>MED:31006149</x:v>
      </x:c>
    </x:row>
    <x:row r="26" ht="140" customHeight="1">
      <x:c r="A26" s="4" t="str">
        <x:v>S0301</x:v>
      </x:c>
      <x:c r="B26" s="4" t="str">
        <x:v>用关系矩阵整合部分重叠的多组学数据</x:v>
      </x:c>
      <x:c r="C26" s="4" t="str">
        <x:v>保留方法与资源</x:v>
      </x:c>
      <x:c r="D26" s="4" t="str">
        <x:v>E</x:v>
      </x:c>
      <x:c r="E26" s="4" t="str">
        <x:v>阅读全文玉米案例后确认与本项目相关，可收为E类方法/数据来源；模型预测不等于单基因功能实验，复用数据需追踪原始来源。</x:v>
      </x:c>
      <x:c r="F26" s="8" t="str">
        <x:v>E</x:v>
      </x:c>
      <x:c r="G26" s="8" t="str">
        <x:v>E</x:v>
      </x:c>
      <x:c r="H26" s="4" t="str"/>
      <x:c r="I26" s="4" t="str">
        <x:v>388份玉米材料；基因组与转录组关系矩阵</x:v>
      </x:c>
      <x:c r="J26" s="4" t="str">
        <x:v>E/D（方法候选）</x:v>
      </x:c>
      <x:c r="K26" s="4" t="str">
        <x:v>出版社全文Application 4及软件/数据可用性部分</x:v>
      </x:c>
      <x:c r="L26" s="4" t="str">
        <x:v>https://www.frontiersin.org/journals/plant-science/articles/10.3389/fpls.2020.00947/full</x:v>
      </x:c>
      <x:c r="M26" s="4" t="str">
        <x:v>E</x:v>
      </x:c>
      <x:c r="N26" s="4" t="str">
        <x:v>玉米文献30篇_学校全文复核版.xlsx / 逐篇判断!F26；意见见玉米文献30篇_学校全文复核版.xlsx / 联网核查8篇!P11</x:v>
      </x:c>
      <x:c r="O26" s="4" t="str">
        <x:v>MED:32765543</x:v>
      </x:c>
    </x:row>
    <x:row r="27" ht="140" customHeight="1">
      <x:c r="A27" s="4" t="str">
        <x:v>S0420</x:v>
      </x:c>
      <x:c r="B27" s="4" t="str">
        <x:v>转基因玉米花粉扩散与异交的空间模型</x:v>
      </x:c>
      <x:c r="C27" s="4" t="str">
        <x:v>不入核心关系，保留原始文献</x:v>
      </x:c>
      <x:c r="D27" s="4" t="str">
        <x:v>X</x:v>
      </x:c>
      <x:c r="E27" s="4" t="str">
        <x:v>转基因玉米作为花粉来源和示踪材料，研究的是扩散模型，没有检验某基因的分子功能或表型效应。</x:v>
      </x:c>
      <x:c r="F27" s="8" t="str">
        <x:v>X</x:v>
      </x:c>
      <x:c r="G27" s="8"/>
      <x:c r="H27" s="4" t="str"/>
      <x:c r="I27" s="4" t="str">
        <x:v>花粉传播与异交率；未给具体功能基因</x:v>
      </x:c>
      <x:c r="J27" s="4"/>
      <x:c r="K27" s="4" t="str">
        <x:v>原标题摘要初筛；未新增目标全文核查</x:v>
      </x:c>
      <x:c r="L27" s="4" t="str">
        <x:v>https://doi.org/10.1016/s0022-5193(03)00243-1</x:v>
      </x:c>
      <x:c r="M27" s="4" t="str">
        <x:v>X</x:v>
      </x:c>
      <x:c r="N27" s="4" t="str">
        <x:v>玉米文献30篇_学校全文复核版.xlsx / 逐篇判断!F27</x:v>
      </x:c>
      <x:c r="O27" s="4" t="str">
        <x:v>MED:14575658</x:v>
      </x:c>
    </x:row>
    <x:row r="28" ht="140" customHeight="1">
      <x:c r="A28" s="4" t="str">
        <x:v>S0175</x:v>
      </x:c>
      <x:c r="B28" s="4" t="str">
        <x:v>草甘膦最大残留限量的法规评估修订</x:v>
      </x:c>
      <x:c r="C28" s="4" t="str">
        <x:v>不入核心关系，保留原始文献</x:v>
      </x:c>
      <x:c r="D28" s="4" t="str">
        <x:v>X</x:v>
      </x:c>
      <x:c r="E28" s="4" t="str">
        <x:v>评估残留限量和消费者风险，摘要没有玉米除草剂抗性基因或功能实验。标题中的Review也不是相关功能综述的充分条件。</x:v>
      </x:c>
      <x:c r="F28" s="8" t="str">
        <x:v>X</x:v>
      </x:c>
      <x:c r="G28" s="8"/>
      <x:c r="H28" s="4" t="str"/>
      <x:c r="I28" s="4" t="str">
        <x:v>草甘膦残留与消费者风险</x:v>
      </x:c>
      <x:c r="J28" s="4"/>
      <x:c r="K28" s="4" t="str">
        <x:v>原标题摘要初筛；未新增目标全文核查</x:v>
      </x:c>
      <x:c r="L28" s="4" t="str">
        <x:v>https://doi.org/10.2903/j.efsa.2019.5862</x:v>
      </x:c>
      <x:c r="M28" s="4" t="str">
        <x:v>X</x:v>
      </x:c>
      <x:c r="N28" s="4" t="str">
        <x:v>玉米文献30篇_学校全文复核版.xlsx / 逐篇判断!F28</x:v>
      </x:c>
      <x:c r="O28" s="4" t="str">
        <x:v>MED:32626142</x:v>
      </x:c>
    </x:row>
    <x:row r="29" ht="140" customHeight="1">
      <x:c r="A29" s="4" t="str">
        <x:v>S0240</x:v>
      </x:c>
      <x:c r="B29" s="4" t="str">
        <x:v>土壤机械阻力下玉米深根的解剖性状</x:v>
      </x:c>
      <x:c r="C29" s="4" t="str">
        <x:v>不入核心关系，保留原始文献</x:v>
      </x:c>
      <x:c r="D29" s="4" t="str">
        <x:v>X</x:v>
      </x:c>
      <x:c r="E29" s="4" t="str">
        <x:v>核对全文材料与实验章节后，归为玉米根系表型背景。当前不进入单基因功能核心层；保留对根性状、条件与材料的辅助价值。</x:v>
      </x:c>
      <x:c r="F29" s="8" t="str">
        <x:v>X</x:v>
      </x:c>
      <x:c r="G29" s="8" t="str">
        <x:v>X</x:v>
      </x:c>
      <x:c r="H29" s="4" t="str"/>
      <x:c r="I29" s="4" t="str">
        <x:v>IBM086、IBM146、IBM014、OhW128等材料；非明确单基因突变体</x:v>
      </x:c>
      <x:c r="J29" s="4" t="str">
        <x:v>B（候选）</x:v>
      </x:c>
      <x:c r="K29" s="4" t="str">
        <x:v>学位论文完整摘要、材料方法及第4–6章相关段落</x:v>
      </x:c>
      <x:c r="L29" s="4" t="str">
        <x:v>https://eprints.nottingham.ac.uk/59994/</x:v>
      </x:c>
      <x:c r="M29" s="4" t="str">
        <x:v>X</x:v>
      </x:c>
      <x:c r="N29" s="4" t="str">
        <x:v>玉米文献30篇_学校全文复核版.xlsx / 逐篇判断!F29；意见见玉米文献30篇_学校全文复核版.xlsx / 联网核查8篇!P12</x:v>
      </x:c>
      <x:c r="O29" s="4" t="str">
        <x:v>ETH:813238</x:v>
      </x:c>
    </x:row>
    <x:row r="30" ht="140" customHeight="1">
      <x:c r="A30" s="4" t="str">
        <x:v>S0457</x:v>
      </x:c>
      <x:c r="B30" s="4" t="str">
        <x:v>通过全基因组特征分析进行复杂基因组物理作图</x:v>
      </x:c>
      <x:c r="C30" s="4" t="str">
        <x:v>不入核心关系，保留原始文献</x:v>
      </x:c>
      <x:c r="D30" s="4" t="str">
        <x:v>X</x:v>
      </x:c>
      <x:c r="E30" s="4" t="str">
        <x:v>主要实测资源是拟南芥，玉米只参与物理作图模拟。摘要不提供玉米基因功能或具体可导入的玉米功能资源。</x:v>
      </x:c>
      <x:c r="F30" s="8" t="str">
        <x:v>X</x:v>
      </x:c>
      <x:c r="G30" s="8"/>
      <x:c r="H30" s="4" t="str"/>
      <x:c r="I30" s="4" t="str">
        <x:v>WGP方法；拟南芥实测图谱；玉米模拟</x:v>
      </x:c>
      <x:c r="J30" s="4"/>
      <x:c r="K30" s="4" t="str">
        <x:v>原标题摘要初筛；未新增目标全文核查</x:v>
      </x:c>
      <x:c r="L30" s="4" t="str">
        <x:v>https://doi.org/10.1101/gr.112094.110</x:v>
      </x:c>
      <x:c r="M30" s="4" t="str">
        <x:v>X</x:v>
      </x:c>
      <x:c r="N30" s="4" t="str">
        <x:v>玉米文献30篇_学校全文复核版.xlsx / 逐篇判断!F30</x:v>
      </x:c>
      <x:c r="O30" s="4" t="str">
        <x:v>MED:21324881</x:v>
      </x:c>
    </x:row>
    <x:row r="31" ht="140" customHeight="1">
      <x:c r="A31" s="4" t="str">
        <x:v>S0321</x:v>
      </x:c>
      <x:c r="B31" s="4" t="str">
        <x:v>气候变化与极端气候对长江流域玉米水稻产量的模拟</x:v>
      </x:c>
      <x:c r="C31" s="4" t="str">
        <x:v>不入核心关系，保留原始文献</x:v>
      </x:c>
      <x:c r="D31" s="4" t="str">
        <x:v>X</x:v>
      </x:c>
      <x:c r="E31" s="4" t="str">
        <x:v>模型输入是气候与管理条件，输出是区域产量。没有基因、位点或分子数据，不能因dataset或yield纳入E或B。</x:v>
      </x:c>
      <x:c r="F31" s="8" t="str">
        <x:v>X</x:v>
      </x:c>
      <x:c r="G31" s="8"/>
      <x:c r="H31" s="4" t="str"/>
      <x:c r="I31" s="4" t="str">
        <x:v>气候指标、作物模型、区域产量</x:v>
      </x:c>
      <x:c r="J31" s="4"/>
      <x:c r="K31" s="4" t="str">
        <x:v>原标题摘要初筛；未新增目标全文核查</x:v>
      </x:c>
      <x:c r="L31" s="4" t="str"/>
      <x:c r="M31" s="4" t="str">
        <x:v>X</x:v>
      </x:c>
      <x:c r="N31" s="4" t="str">
        <x:v>玉米文献30篇_学校全文复核版.xlsx / 逐篇判断!F31</x:v>
      </x:c>
      <x:c r="O31" s="4" t="str">
        <x:v>AGR:IND606784095</x:v>
      </x:c>
    </x:row>
    <x:row r="32" ht="140" customHeight="1">
      <x:c r="A32" s="4" t="str">
        <x:v>S0251</x:v>
      </x:c>
      <x:c r="B32" s="4" t="str">
        <x:v>成熟种子微粒体溶血磷脂酸酰基转移酶的底物特异性</x:v>
      </x:c>
      <x:c r="C32" s="4" t="str">
        <x:v>保留待核实，暂不作确定标签</x:v>
      </x:c>
      <x:c r="D32" s="4" t="str">
        <x:v>U</x:v>
      </x:c>
      <x:c r="E32" s="4" t="str">
        <x:v>玉米参与酶活实测可确认，支持保留酶层证据。由于全文和具体酶身份未解析，不能选一个B73 v5旁系同源基因直接赋予该活性，主标签暂U。</x:v>
      </x:c>
      <x:c r="F32" s="8" t="str">
        <x:v>U</x:v>
      </x:c>
      <x:c r="G32" s="8" t="str">
        <x:v>U后续获取全文核实，目前来看仍有可能作为证据</x:v>
      </x:c>
      <x:c r="H32" s="4" t="str"/>
      <x:c r="I32" s="4" t="str">
        <x:v>玉米微粒体LPA acyltransferase；EC 2.3.1.51；单基因未解析</x:v>
      </x:c>
      <x:c r="J32" s="4" t="str">
        <x:v>A（酶层候选）</x:v>
      </x:c>
      <x:c r="K32" s="4" t="str">
        <x:v>目标摘要与出版社公开索引全文片段；未读到完整PDF</x:v>
      </x:c>
      <x:c r="L32" s="4" t="str">
        <x:v>https://pubmed.ncbi.nlm.nih.gov/16667817/</x:v>
      </x:c>
      <x:c r="M32" s="4" t="str">
        <x:v>U</x:v>
      </x:c>
      <x:c r="N32" s="4" t="str">
        <x:v>玉米文献30篇_学校全文复核版.xlsx / 逐篇判断!F32；意见见玉米文献30篇_学校全文复核版.xlsx / 联网核查8篇!P13</x:v>
      </x:c>
      <x:c r="O32" s="4" t="str">
        <x:v>MED:16667817</x:v>
      </x:c>
    </x:row>
    <x:row r="33" ht="140" customHeight="1">
      <x:c r="A33" s="4" t="str">
        <x:v>S0120</x:v>
      </x:c>
      <x:c r="B33" s="4" t="str">
        <x:v>玉米氮利用效率与苗期根性状的QTL关系</x:v>
      </x:c>
      <x:c r="C33" s="4" t="str">
        <x:v>保留关联层，核对位点/材料</x:v>
      </x:c>
      <x:c r="D33" s="4" t="str">
        <x:v>C</x:v>
      </x:c>
      <x:c r="E33" s="4" t="str">
        <x:v>有玉米群体定位及QTL区段导入验证，支持区段与性状关系。区段导入带来的增产不能自动归因于区间内某个单基因。</x:v>
      </x:c>
      <x:c r="F33" s="8" t="str">
        <x:v>C</x:v>
      </x:c>
      <x:c r="G33" s="8"/>
      <x:c r="H33" s="4" t="str"/>
      <x:c r="I33" s="4" t="str">
        <x:v>331个QTL；64个聚类；bin1.04等区间</x:v>
      </x:c>
      <x:c r="J33" s="4" t="str">
        <x:v>B</x:v>
      </x:c>
      <x:c r="K33" s="4" t="str">
        <x:v>原标题摘要初筛；未新增目标全文核查</x:v>
      </x:c>
      <x:c r="L33" s="4" t="str">
        <x:v>https://doi.org/10.1093/jxb/erv127</x:v>
      </x:c>
      <x:c r="M33" s="4" t="str">
        <x:v>C</x:v>
      </x:c>
      <x:c r="N33" s="4" t="str">
        <x:v>玉米文献30篇_学校全文复核版.xlsx / 逐篇判断!F33</x:v>
      </x:c>
      <x:c r="O33" s="4" t="str">
        <x:v>MED:25873660</x:v>
      </x:c>
    </x:row>
    <x:row r="34" ht="140" customHeight="1">
      <x:c r="A34" s="4" t="str">
        <x:v>S0190</x:v>
      </x:c>
      <x:c r="B34" s="4" t="str">
        <x:v>通过玉米Mlo3序列调节植物抗病性的专利</x:v>
      </x:c>
      <x:c r="C34" s="4" t="str">
        <x:v>保留待核实，暂不作确定标签</x:v>
      </x:c>
      <x:c r="D34" s="4" t="str">
        <x:v>U</x:v>
      </x:c>
      <x:c r="E34" s="4" t="str">
        <x:v>专利候选确与玉米Mlo3有关，已补序列/定位/转化线索。尚未核验直接抗病结果，维持U，不把专利用途主张记为已验证功能。</x:v>
      </x:c>
      <x:c r="F34" s="8" t="str">
        <x:v>U</x:v>
      </x:c>
      <x:c r="G34" s="8" t="str">
        <x:v>U后续获取全文核实，目前来看仍有可能作为证据</x:v>
      </x:c>
      <x:c r="H34" s="4" t="str"/>
      <x:c r="I34" s="4" t="str">
        <x:v>ZmMlo3；专利SEQ ID NO:1/2；旧定位2.04（待核）</x:v>
      </x:c>
      <x:c r="J34" s="4" t="str">
        <x:v>A/B（候选）</x:v>
      </x:c>
      <x:c r="K34" s="4" t="str">
        <x:v>专利索引中的序列、定位和转化流程段；原网页完整读取受限</x:v>
      </x:c>
      <x:c r="L34" s="4" t="str">
        <x:v>https://patents.google.com/patent/WO2000001721A1/en</x:v>
      </x:c>
      <x:c r="M34" s="4" t="str">
        <x:v>U</x:v>
      </x:c>
      <x:c r="N34" s="4" t="str">
        <x:v>玉米文献30篇_学校全文复核版.xlsx / 逐篇判断!F34；意见见玉米文献30篇_学校全文复核版.xlsx / 联网核查8篇!P14</x:v>
      </x:c>
      <x:c r="O34" s="4" t="str">
        <x:v>PAT:WO0001721</x:v>
      </x:c>
    </x:row>
    <x:row r="35" ht="140" customHeight="1">
      <x:c r="A35" s="4" t="str">
        <x:v>S0141</x:v>
      </x:c>
      <x:c r="B35" s="4" t="str">
        <x:v>含棉酚饲料对虹鳟繁殖能力的影响</x:v>
      </x:c>
      <x:c r="C35" s="4" t="str">
        <x:v>不入核心关系，保留原始文献</x:v>
      </x:c>
      <x:c r="D35" s="4" t="str">
        <x:v>X</x:v>
      </x:c>
      <x:c r="E35" s="4" t="str">
        <x:v>研究鱼类营养与繁殖毒理，没有玉米基因证据。蛋白、激素和繁殖指标均来自鱼。</x:v>
      </x:c>
      <x:c r="F35" s="8" t="str">
        <x:v>X</x:v>
      </x:c>
      <x:c r="G35" s="8"/>
      <x:c r="H35" s="4" t="str"/>
      <x:c r="I35" s="4" t="str">
        <x:v>虹鳟；棉籽粕/棉酚饲料</x:v>
      </x:c>
      <x:c r="J35" s="4"/>
      <x:c r="K35" s="4" t="str">
        <x:v>原标题摘要初筛；未新增目标全文核查</x:v>
      </x:c>
      <x:c r="L35" s="4" t="str">
        <x:v>https://doi.org/10.1095/biolreprod62.2.227</x:v>
      </x:c>
      <x:c r="M35" s="4" t="str">
        <x:v>X</x:v>
      </x:c>
      <x:c r="N35" s="4" t="str">
        <x:v>玉米文献30篇_学校全文复核版.xlsx / 逐篇判断!F35</x:v>
      </x:c>
      <x:c r="O35" s="4" t="str">
        <x:v>MED:10642557</x:v>
      </x:c>
    </x:row>
    <x:row r="36" ht="140" customHeight="1">
      <x:c r="A36" s="4" t="str">
        <x:v>S0471</x:v>
      </x:c>
      <x:c r="B36" s="4" t="str">
        <x:v>须芒草族的花发育与单性小穗形成</x:v>
      </x:c>
      <x:c r="C36" s="4" t="str">
        <x:v>不入核心关系，保留原始文献</x:v>
      </x:c>
      <x:c r="D36" s="4" t="str">
        <x:v>X</x:v>
      </x:c>
      <x:c r="E36" s="4" t="str">
        <x:v>实测对象是其他草类，玉米为已知发育模式的比较背景。提出共同遗传机制的推测不等于识别或验证了具体玉米基因。</x:v>
      </x:c>
      <x:c r="F36" s="8" t="str">
        <x:v>X</x:v>
      </x:c>
      <x:c r="G36" s="8"/>
      <x:c r="H36" s="4" t="str"/>
      <x:c r="I36" s="4" t="str">
        <x:v>Bothriochloa等草类；无具体玉米基因</x:v>
      </x:c>
      <x:c r="J36" s="4"/>
      <x:c r="K36" s="4" t="str">
        <x:v>原标题摘要初筛；未新增目标全文核查</x:v>
      </x:c>
      <x:c r="L36" s="4" t="str">
        <x:v>https://doi.org/10.2307/2656757</x:v>
      </x:c>
      <x:c r="M36" s="4" t="str">
        <x:v>X</x:v>
      </x:c>
      <x:c r="N36" s="4" t="str">
        <x:v>玉米文献30篇_学校全文复核版.xlsx / 逐篇判断!F36</x:v>
      </x:c>
      <x:c r="O36" s="4" t="str">
        <x:v>MED:10077498</x:v>
      </x:c>
    </x:row>
    <x:row r="37" ht="140" customHeight="1">
      <x:c r="A37" s="4" t="str">
        <x:v>S0151</x:v>
      </x:c>
      <x:c r="B37" s="4" t="str">
        <x:v>ZmBES1/BZR1-5调控玉米籽粒大小</x:v>
      </x:c>
      <x:c r="C37" s="4" t="str">
        <x:v>进入小批证据提取</x:v>
      </x:c>
      <x:c r="D37" s="4" t="str">
        <x:v>A</x:v>
      </x:c>
      <x:c r="E37" s="4" t="str">
        <x:v>玉米Mu插入和EMS突变体出现较小籽粒，另有拟南芥/水稻过表达及分子结合实验。存在基因层直接实验，建议A为主，同时保留B表型和C关联证据。</x:v>
      </x:c>
      <x:c r="F37" s="8" t="str">
        <x:v>A</x:v>
      </x:c>
      <x:c r="G37" s="8" t="str">
        <x:v>进行基因实验，确认基因与功能直接相关</x:v>
      </x:c>
      <x:c r="H37" s="4" t="str"/>
      <x:c r="I37" s="4" t="str">
        <x:v>ZmBES1/BZR1-5；玉米突变体；异源过表达；启动子结合/调控</x:v>
      </x:c>
      <x:c r="J37" s="4" t="str">
        <x:v>B、C</x:v>
      </x:c>
      <x:c r="K37" s="4" t="str">
        <x:v>采集摘要；另读出版社检索可读的方法与讨论段落，尚未逐图审查全文</x:v>
      </x:c>
      <x:c r="L37" s="4" t="str">
        <x:v>https://doi.org/10.1093/jxb/eraa544</x:v>
      </x:c>
      <x:c r="M37" s="4" t="str">
        <x:v>A</x:v>
      </x:c>
      <x:c r="N37" s="4" t="str">
        <x:v>玉米文献6篇_功能实验优先候选.xlsx / 候选判读!F7；意见见玉米文献6篇_功能实验优先候选.xlsx / 候选判读!G7</x:v>
      </x:c>
      <x:c r="O37" s="4" t="str">
        <x:v>MED:33206180</x:v>
      </x:c>
    </x:row>
    <x:row r="38" ht="140" customHeight="1">
      <x:c r="A38" s="4" t="str">
        <x:v>S0450</x:v>
      </x:c>
      <x:c r="B38" s="4" t="str">
        <x:v>ZmPORB2等位变异影响叶片与籽粒维生素E积累</x:v>
      </x:c>
      <x:c r="C38" s="4" t="str">
        <x:v>进入小批证据提取</x:v>
      </x:c>
      <x:c r="D38" s="4" t="str">
        <x:v>A</x:v>
      </x:c>
      <x:c r="E38" s="4" t="str">
        <x:v>玉米过表达实验支持ZmPORB2影响生育酚含量，按本批约定以A为主、B/C补充。含量变化属于生化表型，不等于直接催化活性测定。</x:v>
      </x:c>
      <x:c r="F38" s="8" t="str">
        <x:v>A</x:v>
      </x:c>
      <x:c r="G38" s="8" t="str">
        <x:v>进行过表达验证也是直接基因实验，验证了相关功能，我不是很确定，可以讨论一下</x:v>
      </x:c>
      <x:c r="H38" s="4" t="str">
        <x:v>会话已讨论：F列保留人工A。过表达是证据方式，含量增加是生化表型；不写成ZmPORB2直接催化生育酚生成。</x:v>
      </x:c>
      <x:c r="I38" s="4" t="str">
        <x:v>qVE5 / ZmPORB2；原文旧模型GRMZM2G073351；定位克隆；玉米过表达；近等基因系；代谢测定；B73 v5候选：Zm00001eb220940（MaizeGDB共线性推断）</x:v>
      </x:c>
      <x:c r="J38" s="4" t="str">
        <x:v>B、C</x:v>
      </x:c>
      <x:c r="K38" s="4" t="str">
        <x:v>目标论文正文的定位、过表达及代谢讨论段；补充图S3/S4未独立核图。</x:v>
      </x:c>
      <x:c r="L38" s="4" t="str">
        <x:v>https://onlinelibrary.wiley.com/doi/10.1111/tpj.14432</x:v>
      </x:c>
      <x:c r="M38" s="4" t="str">
        <x:v>B</x:v>
      </x:c>
      <x:c r="N38" s="4" t="str">
        <x:v>玉米文献6篇_功能实验优先候选.xlsx / 候选判读!F8；意见见玉米文献6篇_功能实验优先候选.xlsx / 候选判读!G8</x:v>
      </x:c>
      <x:c r="O38" s="4" t="str">
        <x:v>MED:31169939</x:v>
      </x:c>
    </x:row>
    <x:row r="39" ht="140" customHeight="1">
      <x:c r="A39" s="4" t="str">
        <x:v>S0343</x:v>
      </x:c>
      <x:c r="B39" s="4" t="str">
        <x:v>重组玉米醛缩酶的表达与催化活性测定</x:v>
      </x:c>
      <x:c r="C39" s="4" t="str">
        <x:v>进入小批证据提取</x:v>
      </x:c>
      <x:c r="D39" s="4" t="str">
        <x:v>A</x:v>
      </x:c>
      <x:c r="E39" s="4" t="str">
        <x:v>研究将玉米cDNA在大肠杆菌中表达，纯化对应蛋白后检测底物转化和酶动力学。可保留玉米来源蛋白的直接酶学证据，实验宿主明确为大肠杆菌。</x:v>
      </x:c>
      <x:c r="F39" s="8" t="str">
        <x:v>A</x:v>
      </x:c>
      <x:c r="G39" s="8" t="str">
        <x:v>进行基因实验，但是确认基因与什么功能直接相关？</x:v>
      </x:c>
      <x:c r="H39" s="4" t="str">
        <x:v>会话已讨论：直接测得玉米来源重组蛋白的醛缩酶活性，支持A；不能据此断言整株耐淹或增产。原人工提问保留在G列。</x:v>
      </x:c>
      <x:c r="I39" s="4" t="str">
        <x:v>厌氧诱导的玉米细胞质aldolase；旧cDNA身份；玉米cDNA异源表达；蛋白纯化；酶动力学</x:v>
      </x:c>
      <x:c r="J39" s="4" t="str"/>
      <x:c r="K39" s="4" t="str">
        <x:v>采集完整摘要；PubMed检索核对书目，未读目标全文</x:v>
      </x:c>
      <x:c r="L39" s="4" t="str">
        <x:v>https://pubmed.ncbi.nlm.nih.gov/2751305/</x:v>
      </x:c>
      <x:c r="M39" s="4" t="str">
        <x:v>A</x:v>
      </x:c>
      <x:c r="N39" s="4" t="str">
        <x:v>玉米文献6篇_功能实验优先候选.xlsx / 候选判读!F9；意见见玉米文献6篇_功能实验优先候选.xlsx / 候选判读!G9</x:v>
      </x:c>
      <x:c r="O39" s="4" t="str">
        <x:v>MED:2751305</x:v>
      </x:c>
    </x:row>
    <x:row r="40" ht="140" customHeight="1">
      <x:c r="A40" s="4" t="str">
        <x:v>S0392</x:v>
      </x:c>
      <x:c r="B40" s="4" t="str">
        <x:v>ABA及胁迫信号调节玉米Vp1表达与启动子活性</x:v>
      </x:c>
      <x:c r="C40" s="4" t="str">
        <x:v>进入小批证据提取</x:v>
      </x:c>
      <x:c r="D40" s="4" t="str">
        <x:v>A</x:v>
      </x:c>
      <x:c r="E40" s="4" t="str">
        <x:v>除表达检测外，本文有玉米Vp1启动子驱动报告基因的转基因实验，以及启动子元件与胚核蛋白的EMSA结合实验。建议保留A类调控元件实验，并单列C类表达响应。</x:v>
      </x:c>
      <x:c r="F40" s="8" t="str">
        <x:v>A</x:v>
      </x:c>
      <x:c r="G40" s="8"/>
      <x:c r="H40" s="4" t="str"/>
      <x:c r="I40" s="4" t="str">
        <x:v>Vp1 / Viviparous1；Vp1启动子、ABRE及CE1样元件；玉米启动子报告实验；EMSA；表达与处理响应</x:v>
      </x:c>
      <x:c r="J40" s="4" t="str">
        <x:v>C</x:v>
      </x:c>
      <x:c r="K40" s="4" t="str">
        <x:v>采集摘要；PMC检索可读的正文引言/讨论段落，尚未逐图核对全文</x:v>
      </x:c>
      <x:c r="L40" s="4" t="str">
        <x:v>https://pmc.ncbi.nlm.nih.gov/articles/PMC1803740/</x:v>
      </x:c>
      <x:c r="M40" s="4" t="str">
        <x:v>A</x:v>
      </x:c>
      <x:c r="N40" s="4" t="str">
        <x:v>玉米文献6篇_功能实验优先候选.xlsx / 候选判读!F10；意见见玉米文献6篇_功能实验优先候选.xlsx / 候选判读!G10</x:v>
      </x:c>
      <x:c r="O40" s="4" t="str">
        <x:v>MED:17208960</x:v>
      </x:c>
    </x:row>
    <x:row r="41" ht="140" customHeight="1">
      <x:c r="A41" s="4" t="str">
        <x:v>S0441</x:v>
      </x:c>
      <x:c r="B41" s="4" t="str">
        <x:v>T型雄性不育玉米URF13蛋白的纯化与线粒体定位</x:v>
      </x:c>
      <x:c r="C41" s="4" t="str">
        <x:v>进入小批证据提取</x:v>
      </x:c>
      <x:c r="D41" s="4" t="str">
        <x:v>A</x:v>
      </x:c>
      <x:c r="E41" s="4" t="str">
        <x:v>从T细胞质玉米中纯化T-URF13，结合抗体、线粒体分级和免疫金标，直接支持该蛋白的线粒体内膜定位。属于蛋白层实验，可记录细胞组分信息。</x:v>
      </x:c>
      <x:c r="F41" s="8" t="str">
        <x:v>A</x:v>
      </x:c>
      <x:c r="G41" s="8"/>
      <x:c r="H41" s="4" t="str"/>
      <x:c r="I41" s="4" t="str">
        <x:v>T-URF13 / URF13；T细胞质线粒体蛋白；蛋白纯化；线粒体分级；免疫金标定位（CC）</x:v>
      </x:c>
      <x:c r="J41" s="4" t="str"/>
      <x:c r="K41" s="4" t="str">
        <x:v>采集摘要；作者机构原刊PDF检索可读的结论段，未逐页精读全部10页</x:v>
      </x:c>
      <x:c r="L41" s="4" t="str">
        <x:v>https://research.mcdb.ucla.edu/Lin/1991-TURF13.pdf</x:v>
      </x:c>
      <x:c r="M41" s="4" t="str">
        <x:v>A</x:v>
      </x:c>
      <x:c r="N41" s="4" t="str">
        <x:v>玉米文献6篇_功能实验优先候选.xlsx / 候选判读!F11；意见见玉米文献6篇_功能实验优先候选.xlsx / 候选判读!G11</x:v>
      </x:c>
      <x:c r="O41" s="4" t="str">
        <x:v>MED:16668065</x:v>
      </x:c>
    </x:row>
    <x:row r="42" ht="140" customHeight="1">
      <x:c r="A42" s="4" t="str">
        <x:v>S0474</x:v>
      </x:c>
      <x:c r="B42" s="4" t="str">
        <x:v>玉米Adh1-FCm重复位点的突变与蛋白表型</x:v>
      </x:c>
      <x:c r="C42" s="4" t="str">
        <x:v>进入小批证据提取</x:v>
      </x:c>
      <x:c r="D42" s="4" t="str">
        <x:v>B</x:v>
      </x:c>
      <x:c r="E42" s="4" t="str">
        <x:v>EMS处理Adh1-FCm重复位点后，检测到ADH多肽电泳迁移率改变，支持可识别遗传对象与分子表型的关系。建议B为主；这里的表型是蛋白迁移率，并非农艺产量。</x:v>
      </x:c>
      <x:c r="F42" s="8" t="str">
        <x:v>B</x:v>
      </x:c>
      <x:c r="G42" s="8"/>
      <x:c r="H42" s="4" t="str"/>
      <x:c r="I42" s="4" t="str">
        <x:v>Adh1-FCm重复位点；F与Cm拷贝；EMS诱变；ADH多肽电泳（分子表型）</x:v>
      </x:c>
      <x:c r="J42" s="4" t="str"/>
      <x:c r="K42" s="4" t="str">
        <x:v>采集摘要及PubMed摘要，未读目标全文</x:v>
      </x:c>
      <x:c r="L42" s="4" t="str">
        <x:v>https://pubmed.ncbi.nlm.nih.gov/395948/</x:v>
      </x:c>
      <x:c r="M42" s="4" t="str">
        <x:v>B</x:v>
      </x:c>
      <x:c r="N42" s="4" t="str">
        <x:v>玉米文献6篇_功能实验优先候选.xlsx / 候选判读!F12；意见见玉米文献6篇_功能实验优先候选.xlsx / 候选判读!G12</x:v>
      </x:c>
      <x:c r="O42" s="4" t="str">
        <x:v>MED:395948</x:v>
      </x:c>
    </x:row>
    <x:row r="46" ht="36" customHeight="1">
      <x:c r="A46" s="7" t="str">
        <x:v>人工主标签</x:v>
      </x:c>
      <x:c r="B46" s="7" t="str">
        <x:v>篇数</x:v>
      </x:c>
      <x:c r="C46" s="2"/>
      <x:c r="D46" s="7" t="str">
        <x:v>判读口径</x:v>
      </x:c>
      <x:c r="E46" s="7" t="str">
        <x:v>具体约定</x:v>
      </x:c>
    </x:row>
    <x:row r="47" ht="72" customHeight="1">
      <x:c r="A47" s="15" t="str">
        <x:v>A</x:v>
      </x:c>
      <x:c r="B47" s="15" t="n">
        <x:f>COUNTIF(F7:F42,A47)</x:f>
        <x:v>5</x:v>
      </x:c>
      <x:c r="C47" s="2"/>
      <x:c r="D47" s="4" t="str">
        <x:v>A与B</x:v>
      </x:c>
      <x:c r="E47" s="4" t="str">
        <x:v>A记录直接实验支持；B记录基因与表型关系。二者可并存，本批两者成立时以A为主、B补充。</x:v>
      </x:c>
    </x:row>
    <x:row r="48" ht="72" customHeight="1">
      <x:c r="A48" s="15" t="str">
        <x:v>B</x:v>
      </x:c>
      <x:c r="B48" s="15" t="n">
        <x:f>COUNTIF(F7:F42,A48)</x:f>
        <x:v>1</x:v>
      </x:c>
      <x:c r="C48" s="2"/>
      <x:c r="D48" s="4" t="str">
        <x:v>功能层次</x:v>
      </x:c>
      <x:c r="E48" s="4" t="str">
        <x:v>分子功能MF、生物过程BP、定位CC、表型分别记录。含量变化是生化表型，不等于直接催化活性。</x:v>
      </x:c>
    </x:row>
    <x:row r="49" ht="72" customHeight="1">
      <x:c r="A49" s="15" t="str">
        <x:v>C</x:v>
      </x:c>
      <x:c r="B49" s="15" t="n">
        <x:f>COUNTIF(F7:F42,A49)</x:f>
        <x:v>3</x:v>
      </x:c>
      <x:c r="C49" s="2"/>
      <x:c r="D49" s="4" t="str">
        <x:v>仅实验词不足</x:v>
      </x:c>
      <x:c r="E49" s="4" t="str">
        <x:v>有过表达或突变体字样不自动判A，仍需确认研究物种、基因身份、对照与实际测得结果。</x:v>
      </x:c>
    </x:row>
    <x:row r="50" ht="72" customHeight="1">
      <x:c r="A50" s="15" t="str">
        <x:v>D</x:v>
      </x:c>
      <x:c r="B50" s="15" t="n">
        <x:f>COUNTIF(F7:F42,A50)</x:f>
        <x:v>1</x:v>
      </x:c>
      <x:c r="C50" s="2"/>
      <x:c r="D50" s="4" t="str">
        <x:v>论文与关系</x:v>
      </x:c>
      <x:c r="E50" s="4" t="str">
        <x:v>主标签用于筛论文。入图谱时逐条关系记录内容、实验方式、材料、条件、方向和来源。</x:v>
      </x:c>
    </x:row>
    <x:row r="51" ht="72" customHeight="1">
      <x:c r="A51" s="15" t="str">
        <x:v>E</x:v>
      </x:c>
      <x:c r="B51" s="15" t="n">
        <x:f>COUNTIF(F7:F42,A51)</x:f>
        <x:v>2</x:v>
      </x:c>
      <x:c r="C51" s="2"/>
      <x:c r="D51" s="4" t="str">
        <x:v>证据依赖</x:v>
      </x:c>
      <x:c r="E51" s="4" t="str">
        <x:v>同一论文的不同组织、实验和三条转基因株系，不作为多篇独立文献重复计证。</x:v>
      </x:c>
    </x:row>
    <x:row r="52" ht="72" customHeight="1">
      <x:c r="A52" s="15" t="str">
        <x:v>R</x:v>
      </x:c>
      <x:c r="B52" s="15" t="n">
        <x:f>COUNTIF(F7:F42,A52)</x:f>
        <x:v>1</x:v>
      </x:c>
      <x:c r="C52" s="2"/>
      <x:c r="D52" s="4" t="str">
        <x:v>基因版本</x:v>
      </x:c>
      <x:c r="E52" s="4" t="str">
        <x:v>保留原刊旧ID及版本；有来源的v5候选需注明推断方式与核对状态。尚无对应时留空。</x:v>
      </x:c>
    </x:row>
    <x:row r="53" ht="72" customHeight="1">
      <x:c r="A53" s="15" t="str">
        <x:v>X</x:v>
      </x:c>
      <x:c r="B53" s="15" t="n">
        <x:f>COUNTIF(F7:F42,A53)</x:f>
        <x:v>20</x:v>
      </x:c>
      <x:c r="C53" s="2"/>
      <x:c r="D53" s="4" t="str">
        <x:v>待核实U</x:v>
      </x:c>
      <x:c r="E53" s="4" t="str">
        <x:v>3篇U仍保留具体缺口；不能把U当已确认负例，也不由摘要猜补完整因果链。</x:v>
      </x:c>
    </x:row>
    <x:row r="54" ht="72" customHeight="1">
      <x:c r="A54" s="15" t="str">
        <x:v>U</x:v>
      </x:c>
      <x:c r="B54" s="15" t="n">
        <x:f>COUNTIF(F7:F42,A54)</x:f>
        <x:v>3</x:v>
      </x:c>
      <x:c r="C54" s="2"/>
      <x:c r="D54" s="4" t="str">
        <x:v>训练与评估</x:v>
      </x:c>
      <x:c r="E54" s="4" t="str">
        <x:v>36篇均为AI辅助复核，缺少独立盲审测试集。目前用于校准和提取试点，不据此宣称模型性能。</x:v>
      </x:c>
    </x:row>
  </x:sheetData>
  <x:dataValidations count="1">
    <x:dataValidation type="list" sqref="F7:F42">
      <x:formula1>"A,B,C,D,E,R,X,U"</x:formula1>
    </x:dataValidation>
  </x:dataValidations>
  <x:pageMargins left="0.7" right="0.7" top="0.75" bottom="0.75" header="0.3" footer="0.3"/>
  <x:tableParts count="1">
    <x:tablePart xmlns:r="http://schemas.openxmlformats.org/officeDocument/2006/relationships" r:id="R0753d54d6404476c"/>
  </x:tableParts>
</x:worksheet>
</file>

<file path=xl/worksheets/sheet2.xml><?xml version="1.0" encoding="utf-8"?>
<x:worksheet xmlns:x="http://schemas.openxmlformats.org/spreadsheetml/2006/main">
  <x:sheetPr>
    <x:tabColor rgb="FF25543E"/>
  </x:sheetPr>
  <x:sheetViews>
    <x:sheetView showGridLines="0" workbookViewId="0">
      <x:pane xSplit="2" ySplit="6" topLeftCell="C7" activePane="bottomRight" state="frozen"/>
    </x:sheetView>
  </x:sheetViews>
  <x:sheetFormatPr defaultRowHeight="15"/>
  <x:cols>
    <x:col min="1" max="1" width="17" hidden="0" customWidth="1"/>
    <x:col min="2" max="2" width="23" hidden="0" customWidth="1"/>
    <x:col min="3" max="3" width="23" hidden="0" customWidth="1"/>
    <x:col min="4" max="4" width="33" hidden="0" customWidth="1"/>
    <x:col min="5" max="5" width="23" hidden="0" customWidth="1"/>
    <x:col min="6" max="6" width="48" hidden="0" customWidth="1"/>
    <x:col min="7" max="7" width="52" hidden="0" customWidth="1"/>
    <x:col min="8" max="8" width="66" hidden="0" customWidth="1"/>
    <x:col min="9" max="9" width="46" hidden="0" customWidth="1"/>
    <x:col min="10" max="10" width="40" hidden="0" customWidth="1"/>
    <x:col min="11" max="11" width="43" hidden="0" customWidth="1"/>
    <x:col min="12" max="12" width="32" hidden="0" customWidth="1"/>
    <x:col min="13" max="13" width="62" hidden="0" customWidth="1"/>
    <x:col min="14" max="14" width="76" hidden="0" customWidth="1"/>
    <x:col min="15" max="15" width="67" hidden="0" customWidth="1"/>
    <x:col min="16" max="16" width="40" hidden="0" customWidth="1"/>
    <x:col min="17" max="17" width="72" hidden="0" customWidth="1"/>
    <x:col min="18" max="18" width="66" hidden="0" customWidth="1"/>
  </x:cols>
  <x:sheetData>
    <x:row r="2" ht="34" customHeight="1">
      <x:c r="A2" s="1" t="str">
        <x:v>S0450：从一篇论文拆成3条证据</x:v>
      </x:c>
    </x:row>
    <x:row r="3">
      <x:c r="A3" t="str">
        <x:v>主标签A；补充B/C。先看B–E列的具体关系，再核对G–J列实验内容。</x:v>
      </x:c>
    </x:row>
    <x:row r="4">
      <x:c r="A4" t="str">
        <x:v>v5候选来自MaizeGDB pcr3条目的共线性关联；补充图未独立核图，3条证据仍待复核。</x:v>
      </x:c>
    </x:row>
    <x:row r="5">
      <x:c r="A5" t="str">
        <x:v>你现在只需在F列写“认可”“待讨论”或具体疑问。此处核对的是证据表达，不要求补出整条分子机制。</x:v>
      </x:c>
    </x:row>
    <x:row r="6" ht="36" customHeight="1">
      <x:c r="A6" s="7" t="str">
        <x:v>证据ID</x:v>
      </x:c>
      <x:c r="B6" s="7" t="str">
        <x:v>主体</x:v>
      </x:c>
      <x:c r="C6" s="7" t="str">
        <x:v>关系</x:v>
      </x:c>
      <x:c r="D6" s="7" t="str">
        <x:v>对象</x:v>
      </x:c>
      <x:c r="E6" s="7" t="str">
        <x:v>内容层次</x:v>
      </x:c>
      <x:c r="F6" s="7" t="str">
        <x:v>你的复核意见</x:v>
      </x:c>
      <x:c r="G6" s="7" t="str">
        <x:v>实验方式</x:v>
      </x:c>
      <x:c r="H6" s="7" t="str">
        <x:v>材料/组织/条件</x:v>
      </x:c>
      <x:c r="I6" s="7" t="str">
        <x:v>对照</x:v>
      </x:c>
      <x:c r="J6" s="7" t="str">
        <x:v>原文报告结果</x:v>
      </x:c>
      <x:c r="K6" s="7" t="str">
        <x:v>原刊基因ID/版本</x:v>
      </x:c>
      <x:c r="L6" s="7" t="str">
        <x:v>B73 v5基因模型（候选）</x:v>
      </x:c>
      <x:c r="M6" s="7" t="str">
        <x:v>文献来源</x:v>
      </x:c>
      <x:c r="N6" s="7" t="str">
        <x:v>原文位置</x:v>
      </x:c>
      <x:c r="O6" s="7" t="str">
        <x:v>短摘录</x:v>
      </x:c>
      <x:c r="P6" s="7" t="str">
        <x:v>当前状态</x:v>
      </x:c>
      <x:c r="Q6" s="7" t="str">
        <x:v>限制与待办</x:v>
      </x:c>
      <x:c r="R6" s="7" t="str">
        <x:v>来源依赖组</x:v>
      </x:c>
    </x:row>
    <x:row r="7" ht="136" customHeight="1">
      <x:c r="A7" s="4" t="str">
        <x:v>S0450-E01</x:v>
      </x:c>
      <x:c r="B7" s="4" t="str">
        <x:v>ZmPORB2</x:v>
      </x:c>
      <x:c r="C7" s="4" t="str">
        <x:v>过表达后提高</x:v>
      </x:c>
      <x:c r="D7" s="4" t="str">
        <x:v>叶片总生育酚含量</x:v>
      </x:c>
      <x:c r="E7" s="4" t="str">
        <x:v>生化表型</x:v>
      </x:c>
      <x:c r="F7" s="8"/>
      <x:c r="G7" s="4" t="str">
        <x:v>玉米基因过表达；qPCR及代谢含量测定</x:v>
      </x:c>
      <x:c r="H7" s="4" t="str">
        <x:v>玉米C01；B73供体片段；六叶期叶片</x:v>
      </x:c>
      <x:c r="I7" s="4" t="str">
        <x:v>空载体对照</x:v>
      </x:c>
      <x:c r="J7" s="4" t="str">
        <x:v>比对照增加28.11–50.59%</x:v>
      </x:c>
      <x:c r="K7" s="4" t="str">
        <x:v>GRMZM2G073351；原刊B73 AGPv2</x:v>
      </x:c>
      <x:c r="L7" s="8" t="str">
        <x:v>Zm00001eb220940</x:v>
      </x:c>
      <x:c r="M7" s="4" t="str">
        <x:v>https://onlinelibrary.wiley.com/doi/10.1111/tpj.14432</x:v>
      </x:c>
      <x:c r="N7" s="4" t="str">
        <x:v>Results：Overexpression of ZmPORB2…；正文第292–293行；Figure S3a/b</x:v>
      </x:c>
      <x:c r="O7" s="4" t="str">
        <x:v>over that in control plants (empty vector)</x:v>
      </x:c>
      <x:c r="P7" s="4" t="str">
        <x:v>AI据正文提取，待复核</x:v>
      </x:c>
      <x:c r="Q7" s="4" t="str">
        <x:v>补充图S3未独立核图；记录基因干预的表型效应，不推定直接催化机制。</x:v>
      </x:c>
      <x:c r="R7" s="4" t="str">
        <x:v>10.1111/tpj.14432；同一论文内证据</x:v>
      </x:c>
    </x:row>
    <x:row r="8" ht="136" customHeight="1">
      <x:c r="A8" s="4" t="str">
        <x:v>S0450-E02</x:v>
      </x:c>
      <x:c r="B8" s="4" t="str">
        <x:v>ZmPORB2</x:v>
      </x:c>
      <x:c r="C8" s="4" t="str">
        <x:v>过表达后提高</x:v>
      </x:c>
      <x:c r="D8" s="4" t="str">
        <x:v>籽粒生育酚含量</x:v>
      </x:c>
      <x:c r="E8" s="4" t="str">
        <x:v>生化表型</x:v>
      </x:c>
      <x:c r="F8" s="8"/>
      <x:c r="G8" s="4" t="str">
        <x:v>玉米基因过表达；代谢含量测定</x:v>
      </x:c>
      <x:c r="H8" s="4" t="str">
        <x:v>玉米C01转基因后代；该段未明确籽粒代次/采样阶段</x:v>
      </x:c>
      <x:c r="I8" s="4" t="str">
        <x:v>同文对照；具体细节待核S3c</x:v>
      </x:c>
      <x:c r="J8" s="4" t="str">
        <x:v>比对照增加18.12–19.24%</x:v>
      </x:c>
      <x:c r="K8" s="4" t="str">
        <x:v>GRMZM2G073351；原刊B73 AGPv2</x:v>
      </x:c>
      <x:c r="L8" s="8" t="str">
        <x:v>Zm00001eb220940</x:v>
      </x:c>
      <x:c r="M8" s="4" t="str">
        <x:v>https://onlinelibrary.wiley.com/doi/10.1111/tpj.14432</x:v>
      </x:c>
      <x:c r="N8" s="4" t="str">
        <x:v>Results：Overexpression of ZmPORB2…；正文第294行；Figure S3c</x:v>
      </x:c>
      <x:c r="O8" s="4" t="str">
        <x:v>18.12 to 19.24% more than that of the controls</x:v>
      </x:c>
      <x:c r="P8" s="4" t="str">
        <x:v>AI据正文提取，待复核</x:v>
      </x:c>
      <x:c r="Q8" s="4" t="str">
        <x:v>补充图S3c未独立核图；前体跨组织运输的具体机制未在本文解明。</x:v>
      </x:c>
      <x:c r="R8" s="4" t="str">
        <x:v>10.1111/tpj.14432；与E01同一论文，不计为第二篇独立支持</x:v>
      </x:c>
    </x:row>
    <x:row r="9" ht="136" customHeight="1">
      <x:c r="A9" s="4" t="str">
        <x:v>S0450-E03</x:v>
      </x:c>
      <x:c r="B9" s="4" t="str">
        <x:v>ZmPORB2蛋白</x:v>
      </x:c>
      <x:c r="C9" s="4" t="str">
        <x:v>定位于</x:v>
      </x:c>
      <x:c r="D9" s="4" t="str">
        <x:v>叶绿体</x:v>
      </x:c>
      <x:c r="E9" s="4" t="str">
        <x:v>细胞组分（CC）</x:v>
      </x:c>
      <x:c r="F9" s="8"/>
      <x:c r="G9" s="4" t="str">
        <x:v>ZmPORB2–GFP与叶绿体自发荧光共定位</x:v>
      </x:c>
      <x:c r="H9" s="4" t="str">
        <x:v>玉米叶片原生质体；供体编码序列来自B73</x:v>
      </x:c>
      <x:c r="I9" s="4" t="str">
        <x:v>需核补充图S4及定位对照</x:v>
      </x:c>
      <x:c r="J9" s="4" t="str">
        <x:v>融合蛋白信号与叶绿体共定位</x:v>
      </x:c>
      <x:c r="K9" s="4" t="str">
        <x:v>GRMZM2G073351；原刊B73 AGPv2</x:v>
      </x:c>
      <x:c r="L9" s="8" t="str">
        <x:v>Zm00001eb220940</x:v>
      </x:c>
      <x:c r="M9" s="4" t="str">
        <x:v>https://onlinelibrary.wiley.com/doi/10.1111/tpj.14432</x:v>
      </x:c>
      <x:c r="N9" s="4" t="str">
        <x:v>Results：ZmPORB2 is localized in chloroplast…；正文第296–297行；Figure S4</x:v>
      </x:c>
      <x:c r="O9" s="4" t="str">
        <x:v>localized in the chloroplast</x:v>
      </x:c>
      <x:c r="P9" s="4" t="str">
        <x:v>AI据正文提取，待复核</x:v>
      </x:c>
      <x:c r="Q9" s="4" t="str">
        <x:v>这是定位信息，不能单独证明具体催化反应；补充图S4未独立核图。</x:v>
      </x:c>
      <x:c r="R9" s="4" t="str">
        <x:v>10.1111/tpj.14432；同一论文内另一实验</x:v>
      </x:c>
    </x:row>
    <x:row r="12" ht="36" customHeight="1">
      <x:c r="A12" s="7" t="str">
        <x:v>记录要点</x:v>
      </x:c>
      <x:c r="B12" s="7" t="str">
        <x:v>解释</x:v>
      </x:c>
    </x:row>
    <x:row r="13" ht="120" customHeight="1">
      <x:c r="A13" s="3" t="str">
        <x:v>生化表型</x:v>
      </x:c>
      <x:c r="B13" s="3" t="str">
        <x:v>叶片或籽粒含量变化，是观察到的性状；过表达是获得该结论的证据方式。</x:v>
      </x:c>
    </x:row>
    <x:row r="14" ht="120" customHeight="1">
      <x:c r="A14" s="3" t="str">
        <x:v>机制边界</x:v>
      </x:c>
      <x:c r="B14" s="3" t="str">
        <x:v>本示范不写“ZmPORB2直接合成生育酚”，不把跨组织前体运输假说记作已证实机制。</x:v>
      </x:c>
    </x:row>
    <x:row r="15" ht="120" customHeight="1">
      <x:c r="A15" s="3" t="str">
        <x:v>数值来源</x:v>
      </x:c>
      <x:c r="B15" s="3" t="str">
        <x:v>百分比来自论文正文对补充图S3的报告，尚未独立复核原始数据及图中所有对照。</x:v>
      </x:c>
    </x:row>
    <x:row r="16" ht="120" customHeight="1">
      <x:c r="A16" s="3" t="str">
        <x:v>缺失信息</x:v>
      </x:c>
      <x:c r="B16" s="3" t="str">
        <x:v>当前正文段落未明确的材料细节、籽粒代次和现代基因ID保持待核，不填猜测值。</x:v>
      </x:c>
    </x:row>
    <x:row r="17" ht="80" customHeight="1">
      <x:c r="A17" s="4" t="str">
        <x:v>v5候选</x:v>
      </x:c>
      <x:c r="B17" s="4" t="str">
        <x:v>Zm00001eb220940；MaizeGDB pcr3条目同时关联旧模型GRMZM2G073351、v4模型Zm00001d013937及该v5模型。</x:v>
      </x:c>
      <x:c r="C17" s="18"/>
      <x:c r="D17" s="18"/>
      <x:c r="E17" s="18"/>
      <x:c r="F17" s="18"/>
    </x:row>
    <x:row r="18" ht="80" customHeight="1">
      <x:c r="A18" s="4" t="str">
        <x:v>映射来源</x:v>
      </x:c>
      <x:c r="B18" s="4" t="str">
        <x:v>MaizeGDB pcr3官方记录：https://maizegdb.org/gene_center/gene/9037718</x:v>
      </x:c>
      <x:c r="C18" s="18"/>
      <x:c r="D18" s="18"/>
      <x:c r="E18" s="18"/>
      <x:c r="F18" s="18"/>
    </x:row>
    <x:row r="19" ht="80" customHeight="1">
      <x:c r="A19" s="4" t="str">
        <x:v>依据与边界</x:v>
      </x:c>
      <x:c r="B19" s="4" t="str">
        <x:v>官方将v5关联标注为共线性推断；这是基因模型ID，不是蛋白或转录本ID。尚未完成独立序列比对及模型一对一核验。</x:v>
      </x:c>
      <x:c r="C19" s="18"/>
      <x:c r="D19" s="18"/>
      <x:c r="E19" s="18"/>
      <x:c r="F19" s="18"/>
    </x:row>
    <x:row r="20" ht="80" customHeight="1">
      <x:c r="A20" s="4" t="str">
        <x:v>查询状态</x:v>
      </x:c>
      <x:c r="B20" s="4" t="str">
        <x:v>2026-10-28：MaizeMine连接超时，未登录；依据MaizeGDB官方搜索索引。funPlantGenes列出相同编号，但两站数据可能有关联。</x:v>
      </x:c>
      <x:c r="C20" s="18"/>
      <x:c r="D20" s="18"/>
      <x:c r="E20" s="18"/>
      <x:c r="F20" s="18"/>
    </x:row>
  </x:sheetData>
  <x:mergeCells>
    <x:mergeCell ref="B17:F17"/>
    <x:mergeCell ref="B18:F18"/>
    <x:mergeCell ref="B19:F19"/>
    <x:mergeCell ref="B20:F20"/>
  </x:mergeCells>
  <x:pageMargins left="0.7" right="0.7" top="0.75" bottom="0.75" header="0.3" footer="0.3"/>
  <x:tableParts count="1">
    <x:tablePart xmlns:r="http://schemas.openxmlformats.org/officeDocument/2006/relationships" r:id="R0f898195f3ca4435"/>
  </x:tableParts>
</x:worksheet>
</file>

<file path=xl/worksheets/sheet3.xml><?xml version="1.0" encoding="utf-8"?>
<x:worksheet xmlns:x="http://schemas.openxmlformats.org/spreadsheetml/2006/main">
  <x:sheetPr>
    <x:tabColor rgb="FF7B8A83"/>
  </x:sheetPr>
  <x:sheetViews>
    <x:sheetView showGridLines="0" workbookViewId="0">
      <x:pane xSplit="1" ySplit="1" topLeftCell="B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44" hidden="0" customWidth="1"/>
    <x:col min="7" max="7" width="78" hidden="0" customWidth="1"/>
    <x:col min="8" max="8" width="140"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s>
  <x:sheetData>
    <x:row r="1" ht="36" customHeight="1">
      <x:c r="A1" s="7" t="str">
        <x:v>sample_id</x:v>
      </x:c>
      <x:c r="B1" s="7" t="str">
        <x:v>sampling_bucket</x:v>
      </x:c>
      <x:c r="C1" s="7" t="str">
        <x:v>year_bucket</x:v>
      </x:c>
      <x:c r="D1" s="7" t="str">
        <x:v>abstract_present</x:v>
      </x:c>
      <x:c r="E1" s="7" t="str">
        <x:v>source_record_key</x:v>
      </x:c>
      <x:c r="F1" s="7" t="str">
        <x:v>doi</x:v>
      </x:c>
      <x:c r="G1" s="7" t="str">
        <x:v>title</x:v>
      </x:c>
      <x:c r="H1" s="7" t="str">
        <x:v>abstract</x:v>
      </x:c>
      <x:c r="I1" s="7" t="str">
        <x:v>pmid</x:v>
      </x:c>
      <x:c r="J1" s="7" t="str">
        <x:v>year</x:v>
      </x:c>
      <x:c r="K1" s="7" t="str">
        <x:v>source</x:v>
      </x:c>
      <x:c r="L1" s="7" t="str">
        <x:v>record_id</x:v>
      </x:c>
      <x:c r="M1" s="7" t="str">
        <x:v>retrieved_at</x:v>
      </x:c>
      <x:c r="N1" s="7" t="str">
        <x:v>primary_label</x:v>
      </x:c>
      <x:c r="O1" s="7" t="str">
        <x:v>secondary_labels</x:v>
      </x:c>
      <x:c r="P1" s="7" t="str">
        <x:v>maize_gene_or_locus</x:v>
      </x:c>
      <x:c r="Q1" s="7" t="str">
        <x:v>evidence_type</x:v>
      </x:c>
      <x:c r="R1" s="7" t="str">
        <x:v>evidence_sentence_or_note</x:v>
      </x:c>
      <x:c r="S1" s="7" t="str">
        <x:v>decision_reason</x:v>
      </x:c>
      <x:c r="T1" s="7" t="str">
        <x:v>reviewer</x:v>
      </x:c>
      <x:c r="U1" s="7" t="str">
        <x:v>review_date</x:v>
      </x:c>
    </x:row>
    <x:row r="2" ht="310" customHeight="1">
      <x:c r="A2" s="4" t="str">
        <x:v>S0313</x:v>
      </x:c>
      <x:c r="B2" s="4" t="str">
        <x:v>title_maize_with_gene_terms</x:v>
      </x:c>
      <x:c r="C2" s="4" t="str">
        <x:v>2010_2019</x:v>
      </x:c>
      <x:c r="D2" s="4" t="str">
        <x:v>no</x:v>
      </x:c>
      <x:c r="E2" s="4" t="str">
        <x:v>PAT:EP2242850</x:v>
      </x:c>
      <x:c r="F2" s="4" t="str"/>
      <x:c r="G2" s="4" t="str">
        <x:v>MAIZE PLANTS CHARACTERISED BY QUANTITATIVE TRAIT LOCI (QTL)</x:v>
      </x:c>
      <x:c r="H2" s="4" t="str"/>
      <x:c r="I2" s="4" t="str"/>
      <x:c r="J2" s="4" t="str">
        <x:v>2010</x:v>
      </x:c>
      <x:c r="K2" s="4" t="str">
        <x:v>PAT</x:v>
      </x:c>
      <x:c r="L2" s="4" t="str">
        <x:v>EP2242850</x:v>
      </x:c>
      <x:c r="M2" s="4" t="str">
        <x:v>2026-10-27</x:v>
      </x:c>
      <x:c r="N2" s="4" t="str"/>
      <x:c r="O2" s="4" t="str"/>
      <x:c r="P2" s="4" t="str"/>
      <x:c r="Q2" s="4" t="str"/>
      <x:c r="R2" s="4" t="str"/>
      <x:c r="S2" s="4" t="str"/>
      <x:c r="T2" s="4" t="str"/>
      <x:c r="U2" s="4" t="str"/>
    </x:row>
    <x:row r="3" ht="310" customHeight="1">
      <x:c r="A3" s="4" t="str">
        <x:v>S0221</x:v>
      </x:c>
      <x:c r="B3" s="4" t="str">
        <x:v>title_maize_with_gene_terms</x:v>
      </x:c>
      <x:c r="C3" s="4" t="str">
        <x:v>2020_plus</x:v>
      </x:c>
      <x:c r="D3" s="4" t="str">
        <x:v>yes</x:v>
      </x:c>
      <x:c r="E3" s="4" t="str">
        <x:v>AGR:IND607866977</x:v>
      </x:c>
      <x:c r="F3" s="4" t="str">
        <x:v>10.1002/cche.10390</x:v>
      </x:c>
      <x:c r="G3" s="4" t="str">
        <x:v>Protein quality and quantity of quality protein maize (QPM) and non‐QPM hybrids under optimal and low nitrogen conditions</x:v>
      </x:c>
      <x:c r="H3" s="4" t="str">
        <x:v>BACKGROUND AND OBJECTIVES: Quality protein maize (QPM) nutritional quality involves high total protein content but reduced zein accumulation in maize endosperm, leading to increased non‐zein proteins, hence higher levels of essential amino acids such as lysine and tryptophan. The aim of this study was to assess the effect of low nitrogen (N) conditions in one location, and optimum conditions in three locations, on zein proteins in 10 QPM hybrids developed by the International Maize and Wheat Improvement Centre (CIMMYT) compared to two non‐QPM checks. FINDINGS: With a few exceptions, total protein content, and γ‐ and α‐zein peak areas were significantly reduced under low N compared to optimal conditions, while β‐zein increased. Non‐QPM hybrids had higher protein content than QPM hybrids, and QPM hybrids had higher γ‐zein than non‐QPM in all environments. Higher α‐zein values than other zein types were observed in non‐QPM than in QPM genotypes in all environments. SIGNIFICANCE AND NOVELTY: Low N significantly reduced protein content and all the zein fractions except for β‐zeins, which were increased. The advantages of a decrease in zein fractions in QPM under low N conditions were offset by a large decrease in grain protein content.</x:v>
      </x:c>
      <x:c r="I3" s="4" t="str"/>
      <x:c r="J3" s="4" t="str">
        <x:v>2021</x:v>
      </x:c>
      <x:c r="K3" s="4" t="str">
        <x:v>AGR</x:v>
      </x:c>
      <x:c r="L3" s="4" t="str">
        <x:v>IND607866977</x:v>
      </x:c>
      <x:c r="M3" s="4" t="str">
        <x:v>2026-10-27</x:v>
      </x:c>
      <x:c r="N3" s="4" t="str"/>
      <x:c r="O3" s="4" t="str"/>
      <x:c r="P3" s="4" t="str"/>
      <x:c r="Q3" s="4" t="str"/>
      <x:c r="R3" s="4" t="str"/>
      <x:c r="S3" s="4" t="str"/>
      <x:c r="T3" s="4" t="str"/>
      <x:c r="U3" s="4" t="str"/>
    </x:row>
    <x:row r="4" ht="310" customHeight="1">
      <x:c r="A4" s="4" t="str">
        <x:v>S0137</x:v>
      </x:c>
      <x:c r="B4" s="4" t="str">
        <x:v>no_explicit_maize_without_gene_terms</x:v>
      </x:c>
      <x:c r="C4" s="4" t="str">
        <x:v>2000_2009</x:v>
      </x:c>
      <x:c r="D4" s="4" t="str">
        <x:v>yes</x:v>
      </x:c>
      <x:c r="E4" s="4" t="str">
        <x:v>MED:18931285</x:v>
      </x:c>
      <x:c r="F4" s="4" t="str">
        <x:v>10.1128/aem.01373-08</x:v>
      </x:c>
      <x:c r="G4" s="4" t="str">
        <x:v>Specific binding of Bacillus thuringiensis Cry2A insecticidal proteins to a common site in the midgut of Helicoverpa species.</x:v>
      </x:c>
      <x:c r="H4" s="4" t="str">
        <x:v>For a long time, it has been assumed that the mode of action of Cry2A toxins was unique and different from that of other three-domain Cry toxins due to their apparent nonspecific and unsaturable binding to an unlimited number of receptors. However, based on the homology of the tertiary structure among three-domain Cry toxins, similar modes of action for all of them are expected. To confirm this hypothesis, binding assays were carried out with (125)I-labeled Cry2Ab. Saturation assays showed that Cry2Ab binds in a specific and saturable manner to brush border membrane vesicles (BBMVs) of Helicoverpa armigera. Homologous-competition assays with (125)I-Cry2Ab demonstrated that this toxin binds with high affinity to binding sites in H. armigera and Helicoverpa zea midgut. Heterologous-competition assays showed a common binding site for three toxins belonging to the Cry2A family (Cry2Aa, Cry2Ab, and Cry2Ae), which is not shared by Cry1Ac. Estimation of K(d) (dissociation constant) values revealed that Cry2Ab had around 35-fold less affinity than Cry1Ac for BBMV binding sites in both insect species. Only minor differences were found regarding R(t) (concentration of binding sites) values. This study questions previous interpretations from other authors performing binding assays with Cry2A toxins and establishes the basis for the mode of action of Cry2A toxins.</x:v>
      </x:c>
      <x:c r="I4" s="4" t="str">
        <x:v>18931285</x:v>
      </x:c>
      <x:c r="J4" s="4" t="str">
        <x:v>2008</x:v>
      </x:c>
      <x:c r="K4" s="4" t="str">
        <x:v>MED</x:v>
      </x:c>
      <x:c r="L4" s="4" t="str">
        <x:v>18931285</x:v>
      </x:c>
      <x:c r="M4" s="4" t="str">
        <x:v>2026-10-27</x:v>
      </x:c>
      <x:c r="N4" s="4" t="str"/>
      <x:c r="O4" s="4" t="str"/>
      <x:c r="P4" s="4" t="str"/>
      <x:c r="Q4" s="4" t="str"/>
      <x:c r="R4" s="4" t="str"/>
      <x:c r="S4" s="4" t="str"/>
      <x:c r="T4" s="4" t="str"/>
      <x:c r="U4" s="4" t="str"/>
    </x:row>
    <x:row r="5" ht="310" customHeight="1">
      <x:c r="A5" s="4" t="str">
        <x:v>S0244</x:v>
      </x:c>
      <x:c r="B5" s="4" t="str">
        <x:v>abstract_maize_with_gene_terms</x:v>
      </x:c>
      <x:c r="C5" s="4" t="str">
        <x:v>1990_1999</x:v>
      </x:c>
      <x:c r="D5" s="4" t="str">
        <x:v>yes</x:v>
      </x:c>
      <x:c r="E5" s="4" t="str">
        <x:v>MED:1828354</x:v>
      </x:c>
      <x:c r="F5" s="4" t="str">
        <x:v>10.1139/o91-005</x:v>
      </x:c>
      <x:c r="G5" s="4" t="str">
        <x:v>Effect of low temperature stress on the expression of sucrose synthetase in spring and winter wheat plants. Development of a monoclonal antibody against wheat germ sucrose synthetase.</x:v>
      </x:c>
      <x:c r="H5" s="4" t="str">
        <x:v>A monoclonal antibody against wheat germ sucrose synthetase is developed and characterized. Its use in studying the effect of cold acclimation on the expression of sucrose synthetase in winter and spring wheat plants is described. The antibody shows cross-reactivity with sucrose synthetase from maize and pea plants, as well as carrot cells. A gradual accumulation of the enzyme as a function of time spent at 2 degrees C is observed in both wheat varieties. In contrast, an initial sharp rise in the mRNA level is observed, which agrees with the previously reported response of maize plants subjected to anaerobic stress.</x:v>
      </x:c>
      <x:c r="I5" s="4" t="str">
        <x:v>1828354</x:v>
      </x:c>
      <x:c r="J5" s="4" t="str">
        <x:v>1991</x:v>
      </x:c>
      <x:c r="K5" s="4" t="str">
        <x:v>MED</x:v>
      </x:c>
      <x:c r="L5" s="4" t="str">
        <x:v>1828354</x:v>
      </x:c>
      <x:c r="M5" s="4" t="str">
        <x:v>2026-10-27</x:v>
      </x:c>
      <x:c r="N5" s="4" t="str"/>
      <x:c r="O5" s="4" t="str"/>
      <x:c r="P5" s="4" t="str"/>
      <x:c r="Q5" s="4" t="str"/>
      <x:c r="R5" s="4" t="str"/>
      <x:c r="S5" s="4" t="str"/>
      <x:c r="T5" s="4" t="str"/>
      <x:c r="U5" s="4" t="str"/>
    </x:row>
    <x:row r="6" ht="310" customHeight="1">
      <x:c r="A6" s="4" t="str">
        <x:v>S0238</x:v>
      </x:c>
      <x:c r="B6" s="4" t="str">
        <x:v>no_explicit_maize_without_gene_terms</x:v>
      </x:c>
      <x:c r="C6" s="4" t="str">
        <x:v>2000_2009</x:v>
      </x:c>
      <x:c r="D6" s="4" t="str">
        <x:v>yes</x:v>
      </x:c>
      <x:c r="E6" s="4" t="str">
        <x:v>MED:19325818</x:v>
      </x:c>
      <x:c r="F6" s="4" t="str">
        <x:v>10.3390/ijms9081515</x:v>
      </x:c>
      <x:c r="G6" s="4" t="str">
        <x:v>The use of isolated human lymphocytes in mycotoxin cytotoxicity testing.</x:v>
      </x:c>
      <x:c r="H6" s="4" t="str">
        <x:v>The cytotoxicity of selected mycotoxins against isolated human lymphocytes was investigated, as a means of detecting mycotoxins in extracts derived from cereal samples. The methodology was based on the ability of viable cells to reduce methyl tetrazolium bromide to a purple formazan dye that could be quantitated by spectrophometric means and hence give a measure of the cytotoxicity of added substances. The results showed that there was good correlation with the occurrence of identified mycotoxins with only a minimum of false positives. For example, of the 13 samples of barley or barley derivatives that were positive for the mycotoxins, fumonisin B(1) (FB1) deoxynivalenol (DON) and ochratoxin A (OTA), all gave positive cytotoxicity responses. Two samples negative for mycotoxins gave no cytotoxicity responses. There was little variation between the results for lymphocytes drawn from the same healthy volunteer on three different occasions. Furthermore, for two of the mycotoxins tested (FB1 and DON) it was possible to correlate general levels of mycotoxins present to the cytotoxic response of the lymphocytes but not for OTA, where it was concluded that interfering substances prevented direct correlation. It was concluded that this method was suited for general application as it could handle relatively high number of samples in a short period of time.</x:v>
      </x:c>
      <x:c r="I6" s="4" t="str">
        <x:v>19325818</x:v>
      </x:c>
      <x:c r="J6" s="4" t="str">
        <x:v>2008</x:v>
      </x:c>
      <x:c r="K6" s="4" t="str">
        <x:v>MED</x:v>
      </x:c>
      <x:c r="L6" s="4" t="str">
        <x:v>19325818</x:v>
      </x:c>
      <x:c r="M6" s="4" t="str">
        <x:v>2026-10-27</x:v>
      </x:c>
      <x:c r="N6" s="4" t="str"/>
      <x:c r="O6" s="4" t="str"/>
      <x:c r="P6" s="4" t="str"/>
      <x:c r="Q6" s="4" t="str"/>
      <x:c r="R6" s="4" t="str"/>
      <x:c r="S6" s="4" t="str"/>
      <x:c r="T6" s="4" t="str"/>
      <x:c r="U6" s="4" t="str"/>
    </x:row>
    <x:row r="7" ht="310" customHeight="1">
      <x:c r="A7" s="4" t="str">
        <x:v>S0351</x:v>
      </x:c>
      <x:c r="B7" s="4" t="str">
        <x:v>title_maize_without_gene_terms</x:v>
      </x:c>
      <x:c r="C7" s="4" t="str">
        <x:v>2020_plus</x:v>
      </x:c>
      <x:c r="D7" s="4" t="str">
        <x:v>yes</x:v>
      </x:c>
      <x:c r="E7" s="4" t="str">
        <x:v>MED:33807073</x:v>
      </x:c>
      <x:c r="F7" s="4" t="str">
        <x:v>10.3390/nu13031039</x:v>
      </x:c>
      <x:c r="G7" s="4" t="str">
        <x:v>Multinutrient Biofortification of Maize ( Zea mays L.) in Africa: Current Status, Opportunities and Limitations.</x:v>
      </x:c>
      <x:c r="H7" s="4" t="str">
        <x:v>Macro and micronutrient deficiencies pose serious health challenges globally, with the largest impact in developing regions such as subSaharan Africa (SSA), Latin America and South Asia. Maize is a good source of calories but contains low concentrations of essential nutrients. Major limiting nutrients in maize-based diets are essential amino acids such as lysine and tryptophan, and micronutrients such as vitamin A, zinc (Zn) and iron (Fe). Responding to these challenges, separate maize biofortification programs have been designed worldwide, resulting in several cultivars with high levels of provitamin A, lysine, tryptophan, Zn and Fe being commercialized. This strategy of developing single-nutrient biofortified cultivars does not address the nutrient deficiency challenges in SSA in an integrated manner. Hence, development of maize with multinutritional attributes can be a sustainable and cost-effective strategy for addressing the problem of nutrient deficiencies in SSA. This review provides a synopsis of the health challenges associated with Zn, provitamin A and tryptophan deficiencies and link these to vulnerable societies; a synthesis of past and present intervention measures for addressing nutrient deficiencies in SSA; and a discussion on the possibility of developing maize with multinutritional quality attributes, but also with adaptation to stress conditions in SSA.</x:v>
      </x:c>
      <x:c r="I7" s="4" t="str">
        <x:v>33807073</x:v>
      </x:c>
      <x:c r="J7" s="4" t="str">
        <x:v>2021</x:v>
      </x:c>
      <x:c r="K7" s="4" t="str">
        <x:v>MED</x:v>
      </x:c>
      <x:c r="L7" s="4" t="str">
        <x:v>33807073</x:v>
      </x:c>
      <x:c r="M7" s="4" t="str">
        <x:v>2026-10-27</x:v>
      </x:c>
      <x:c r="N7" s="4" t="str"/>
      <x:c r="O7" s="4" t="str"/>
      <x:c r="P7" s="4" t="str"/>
      <x:c r="Q7" s="4" t="str"/>
      <x:c r="R7" s="4" t="str"/>
      <x:c r="S7" s="4" t="str"/>
      <x:c r="T7" s="4" t="str"/>
      <x:c r="U7" s="4" t="str"/>
    </x:row>
    <x:row r="8" ht="310" customHeight="1">
      <x:c r="A8" s="4" t="str">
        <x:v>S0479</x:v>
      </x:c>
      <x:c r="B8" s="4" t="str">
        <x:v>abstract_maize_without_gene_terms</x:v>
      </x:c>
      <x:c r="C8" s="4" t="str">
        <x:v>2010_2019</x:v>
      </x:c>
      <x:c r="D8" s="4" t="str">
        <x:v>yes</x:v>
      </x:c>
      <x:c r="E8" s="4" t="str">
        <x:v>MED:25383746</x:v>
      </x:c>
      <x:c r="F8" s="4" t="str">
        <x:v>10.1038/nutd.2014.39</x:v>
      </x:c>
      <x:c r="G8" s="4" t="str">
        <x:v>Lycopene supplementation reduces TNF-α via RAGE in the kidney of obese rats.</x:v>
      </x:c>
      <x:c r="H8" s="4" t="str">
        <x:v>Background The kidney is a target organ for injuries caused by advanced glycation end products (AGEs) in obesity. The receptor of AGEs (RAGE) is proinflammatory and appears to have a role in the pathogenesis of renal disease due to obesity. Objective The aim was to verify the effect of obesity on renal damage and the effect of lycopene on these complicationsDesign and Methods:Male Wistar rats were randomly assigned to receive a control diet (C, n=7) or a high-fat diet plus sucrose (HD+S, n=14) for 6 weeks. After this period, the HD+S animals were randomized into two groups: HD+S (n=7) and HD+S supplemented with lycopene (HD+S+L, n=7). The animals received maize oil (C and HD+S) or lycopene (HD+S+L) for a 6-week period. Results The HD+S and HD+S+L animals demonstrated insulin resistance (OGTT glucose after 150 min; C: 117.6±3.9 Conclusions Lycopene may be beneficial in the prevention and treatment of oxidative stress and inflammation in the kidney due to obesity.</x:v>
      </x:c>
      <x:c r="I8" s="4" t="str">
        <x:v>25383746</x:v>
      </x:c>
      <x:c r="J8" s="4" t="str">
        <x:v>2014</x:v>
      </x:c>
      <x:c r="K8" s="4" t="str">
        <x:v>MED</x:v>
      </x:c>
      <x:c r="L8" s="4" t="str">
        <x:v>25383746</x:v>
      </x:c>
      <x:c r="M8" s="4" t="str">
        <x:v>2026-10-27</x:v>
      </x:c>
      <x:c r="N8" s="4" t="str"/>
      <x:c r="O8" s="4" t="str"/>
      <x:c r="P8" s="4" t="str"/>
      <x:c r="Q8" s="4" t="str"/>
      <x:c r="R8" s="4" t="str"/>
      <x:c r="S8" s="4" t="str"/>
      <x:c r="T8" s="4" t="str"/>
      <x:c r="U8" s="4" t="str"/>
    </x:row>
    <x:row r="9" ht="310" customHeight="1">
      <x:c r="A9" s="4" t="str">
        <x:v>S0106</x:v>
      </x:c>
      <x:c r="B9" s="4" t="str">
        <x:v>no_explicit_maize_without_gene_terms</x:v>
      </x:c>
      <x:c r="C9" s="4" t="str">
        <x:v>1990_1999</x:v>
      </x:c>
      <x:c r="D9" s="4" t="str">
        <x:v>yes</x:v>
      </x:c>
      <x:c r="E9" s="4" t="str">
        <x:v>MED:19287798</x:v>
      </x:c>
      <x:c r="F9" s="4" t="str"/>
      <x:c r="G9" s="4" t="str">
        <x:v>Inability of a Seed Treatment with Pseudomonas cepacia to Control Heterodera glycines on Soybean.</x:v>
      </x:c>
      <x:c r="H9" s="4" t="str">
        <x:v>A commercial seed treatment containing Pseudomonas cepacia was applied to Glycine max cv. Williams 82 (susceptible to Heterodera glycines) and was compared to Fayette soybean (resistant to H. glycines) for control of H. glycines at two locations in Illinois. The soil at the first location was sandy in texture and the field was irrigated, whereas the soil at the second location was a silty clay loam and the field was not irrigated. At both locations there was no yield increase associated with the seed treatment , but yield of Fayette was significantly (P &lt; 0.05) greater than Williams 82 regardless of treatment.</x:v>
      </x:c>
      <x:c r="I9" s="4" t="str">
        <x:v>19287798</x:v>
      </x:c>
      <x:c r="J9" s="4" t="str">
        <x:v>1990</x:v>
      </x:c>
      <x:c r="K9" s="4" t="str">
        <x:v>MED</x:v>
      </x:c>
      <x:c r="L9" s="4" t="str">
        <x:v>19287798</x:v>
      </x:c>
      <x:c r="M9" s="4" t="str">
        <x:v>2026-10-27</x:v>
      </x:c>
      <x:c r="N9" s="4" t="str"/>
      <x:c r="O9" s="4" t="str"/>
      <x:c r="P9" s="4" t="str"/>
      <x:c r="Q9" s="4" t="str"/>
      <x:c r="R9" s="4" t="str"/>
      <x:c r="S9" s="4" t="str"/>
      <x:c r="T9" s="4" t="str"/>
      <x:c r="U9" s="4" t="str"/>
    </x:row>
    <x:row r="10" ht="310" customHeight="1">
      <x:c r="A10" s="4" t="str">
        <x:v>S0122</x:v>
      </x:c>
      <x:c r="B10" s="4" t="str">
        <x:v>abstract_maize_with_gene_terms</x:v>
      </x:c>
      <x:c r="C10" s="4" t="str">
        <x:v>1990_1999</x:v>
      </x:c>
      <x:c r="D10" s="4" t="str">
        <x:v>yes</x:v>
      </x:c>
      <x:c r="E10" s="4" t="str">
        <x:v>MED:2319942</x:v>
      </x:c>
      <x:c r="F10" s="4" t="str">
        <x:v>10.1093/oxfordjournals.molbev.a040593</x:v>
      </x:c>
      <x:c r="G10" s="4" t="str">
        <x:v>Molecular evolution of the zinc-containing long-chain alcohol dehydrogenase genes.</x:v>
      </x:c>
      <x:c r="H10" s="4" t="str">
        <x:v>Phylogenetic relationships and rates of nucleotide substitution were studied for alcohol dehydrogenase (ADH) genes by using DNA sequences from mammals and plants. Mammalian ADH sequences include the three class I genes and a class II gene from humans and one gene each from baboon, rat, and mouse. Plant sequences include two ADH genes each from maize and rice, three genes from barley, and one gene each from wheat and two dicots, Arabidopsis and pea. Phylogenetic trees show that relationships among ADH genes are generally consistent with taxonomic relationships: mammalian and plant ADH genes are classified into two distinct groups; primate class I genes are clustered; and two dicot sequences are clustered separately from monocot sequences. Accelerated evolution has been detected among the duplicated ADH genes in plants, in which synonymous substitutions occurred more often within the coenzyme-binding domain than within the catalytic domains.</x:v>
      </x:c>
      <x:c r="I10" s="4" t="str">
        <x:v>2319942</x:v>
      </x:c>
      <x:c r="J10" s="4" t="str">
        <x:v>1990</x:v>
      </x:c>
      <x:c r="K10" s="4" t="str">
        <x:v>MED</x:v>
      </x:c>
      <x:c r="L10" s="4" t="str">
        <x:v>2319942</x:v>
      </x:c>
      <x:c r="M10" s="4" t="str">
        <x:v>2026-10-27</x:v>
      </x:c>
      <x:c r="N10" s="4" t="str"/>
      <x:c r="O10" s="4" t="str"/>
      <x:c r="P10" s="4" t="str"/>
      <x:c r="Q10" s="4" t="str"/>
      <x:c r="R10" s="4" t="str"/>
      <x:c r="S10" s="4" t="str"/>
      <x:c r="T10" s="4" t="str"/>
      <x:c r="U10" s="4" t="str"/>
    </x:row>
    <x:row r="11" ht="310" customHeight="1">
      <x:c r="A11" s="4" t="str">
        <x:v>S0288</x:v>
      </x:c>
      <x:c r="B11" s="4" t="str">
        <x:v>title_maize_without_gene_terms</x:v>
      </x:c>
      <x:c r="C11" s="4" t="str">
        <x:v>2020_plus</x:v>
      </x:c>
      <x:c r="D11" s="4" t="str">
        <x:v>yes</x:v>
      </x:c>
      <x:c r="E11" s="4" t="str">
        <x:v>MED:37965600</x:v>
      </x:c>
      <x:c r="F11" s="4" t="str">
        <x:v>10.1016/j.dib.2023.109707</x:v>
      </x:c>
      <x:c r="G11" s="4" t="str">
        <x:v>Data on the effects of brewery sludge and blended NPS fertilizer rates on yield and yield components of maize ( Zea Mays L.) in North Mecha District, Northwestern Ethiopia.</x:v>
      </x:c>
      <x:c r="H11" s="4" t="str">
        <x:v>Maize is one of the most important cereal crops in Ethiopia. However, its yield is lower than its potential mainly due to low soil fertility problems. Therefore, this field experiment was conducted during 2021 main rainy season with the objective of improving maize production through application of brewery sludge and blended NPS fertilizers in North Mecha district, Northwestern Ethiopia. Factorial combination of three levels of brewery sludge (0, 10 and 20 t ha -1 ) and four levels of blended NPS fertilizer rates (0, 50, 100 and 150 kg ha -1 ) were laid out in RCBD with three replications. The remaining necessary agronomic practices and crop management activities were undertaken uniformly. The data presented under this dataset article includes phenological Parameters (i.e. Days to 50 % emergence, Days to 50 % tasseling, Days to 50 % silking and Days to 90 % physiological maturity), growth parameters (i.e. Plant height, leaf area and leaf area index) and yield and yield component parameters (i.e. Number of ears plant -1 , Above ground dry biomass yield, Ear length, Number of rows ear -1 , Number of kernels row -1 , Number of kernels ear -1 , Grain yield, Thousand kernels weight, Stover yield and Harvest index). All the collected data were subjected to analysis of variance (ANOVA) and the analysis was carried out using the SAS version 9.0 software computer program's General Linear Model (GLM) procedure [1]. As described in Montgomery [2], the residuals were examined to verify the normal distribution and homogeneous variance model assumptions on the error terms for each response variable. Because the twelve treatment combinations were randomized within each block, the independence assumption is valid. When a treatment effect was significant, multiple means comparison was performed at a 5 % level of significance using the least significant difference (Fisher's LSD) method to generate letter groupings and correlation analysis was performed using the Pearson correlation procedure found in SAS. This dataset article, therefore gives information about the effects of brewery sludge and blended NPS fertilizer rates on maize productivity. Additionally, it provides the economic feasibility of brewery sludge integrated application with blended NPS fertilizer than sole application of blended chemical fertilizers. Hence, this information can allow other researchers to review the supplement data, methods, and make detailed analysis, which possibly giving rise to new lines of inquiry. This can also give rise to new collaborations and boost the reputation of the present research data within the scientific community and to make it available to everyone around the subject matter to use as they wish.</x:v>
      </x:c>
      <x:c r="I11" s="4" t="str">
        <x:v>37965600</x:v>
      </x:c>
      <x:c r="J11" s="4" t="str">
        <x:v>2023</x:v>
      </x:c>
      <x:c r="K11" s="4" t="str">
        <x:v>MED</x:v>
      </x:c>
      <x:c r="L11" s="4" t="str">
        <x:v>37965600</x:v>
      </x:c>
      <x:c r="M11" s="4" t="str">
        <x:v>2026-10-27</x:v>
      </x:c>
      <x:c r="N11" s="4" t="str"/>
      <x:c r="O11" s="4" t="str"/>
      <x:c r="P11" s="4" t="str"/>
      <x:c r="Q11" s="4" t="str"/>
      <x:c r="R11" s="4" t="str"/>
      <x:c r="S11" s="4" t="str"/>
      <x:c r="T11" s="4" t="str"/>
      <x:c r="U11" s="4" t="str"/>
    </x:row>
    <x:row r="12" ht="310" customHeight="1">
      <x:c r="A12" s="4" t="str">
        <x:v>S0411</x:v>
      </x:c>
      <x:c r="B12" s="4" t="str">
        <x:v>title_maize_without_gene_terms</x:v>
      </x:c>
      <x:c r="C12" s="4" t="str">
        <x:v>2020_plus</x:v>
      </x:c>
      <x:c r="D12" s="4" t="str">
        <x:v>yes</x:v>
      </x:c>
      <x:c r="E12" s="4" t="str">
        <x:v>MED:42742736</x:v>
      </x:c>
      <x:c r="F12" s="4" t="str">
        <x:v>10.1007/s00203-026-05174-0</x:v>
      </x:c>
      <x:c r="G12" s="4" t="str">
        <x:v>Recurrent and niche-specific functional bacteriome of maize hybrid revealed by integrated metabarcoding and culturomics.</x:v>
      </x:c>
      <x:c r="H12" s="4" t="str">
        <x:v>The plant microbiome plays a pivotal role in plant survival in natural habitats by facilitating nutrient acquisition, stress adaptation, and disease suppression, while also offering opportunities to enhance crop productivity and climate resilience. However, the distribution of persistent and culturable bacteriome across maize-associated niches and their functional potential remain poorly resolved. This study integrated metagenomic next-generation sequencing (mNGS-based metabarcoding) and culturomics to characterise the maize-associated bacteriome of bulk soil, rhizoplane, phylloplane, and cob of the maize hybrid PHM-1 under contrasting cropping and tillage systems, and to identify recurrent and agriculturally promising bacteriome components. The bacteriome exhibited pronounced niche-specific structuring, whereas overall bacterial community composition did not differ significantly across cropping and tillage treatments (ANOSIM, R = 0.038, p = 0.306). Proteobacteria predominated in the culturable bacteriome (69-84%; mean, 76.2%) but accounted for only 1% of the total bacteriome, whereas Patescibacteria and Firmicutes were relatively enriched. Niche-specific dominance was evident, with Pantoea accounting for 40.79% of the total and 56.27% of the culturable phylloplane bacteriome under cereal monocropping, while Serratia represented 31.59% and 59.40% of the total and culturable cob bacteriomes, respectively. Across niches, mNGS captured substantially greater bacteriome diversity, particularly uncultured and unidentified taxa in soil-associated compartments, whereas culturomics recovered a narrower but functionally accessible fraction. Culturomics yielded 99 isolates representing 32 species across 12 genera, including six genera shared with the mNGS-derived recurrent bacteriome: Bacillus, Enterobacter, Pantoea, Pseudomonas, Serratia, and Stenotrophomonas. Functional screening identified strong biocontrol and plant-beneficial traits among core-associated isolates. Pseudomonas oryzihabitans ZM-DL-PA10 inhibited Rhizoctonia solani, Macrophomina phaseolina, and Bipolaris maydis by up to 40.6%, 43.9%, and 45.2%, respectively, through secreted and volatile metabolites; exhibited P, K, and Zn solubilisation; and produced IAA and siderophores. It also recorded the lowest B. maydis disease index (ADI) of 1.00. Pantoea ananatis ZM-BH-EA4 showed 52.4% and 68.5% inhibition of R. solani and B. maydis, respectively, through volatile metabolites. Collectively, the integration of mNGS and culturomics revealed a strongly compartmentalised maize bacteriome and identified recurrent, culturable, and functionally promising bacterial taxa, providing a targeted resource for microbiome-based crop protection and climate-resilient maize production.</x:v>
      </x:c>
      <x:c r="I12" s="4" t="str">
        <x:v>42742736</x:v>
      </x:c>
      <x:c r="J12" s="4" t="str">
        <x:v>2026</x:v>
      </x:c>
      <x:c r="K12" s="4" t="str">
        <x:v>MED</x:v>
      </x:c>
      <x:c r="L12" s="4" t="str">
        <x:v>42742736</x:v>
      </x:c>
      <x:c r="M12" s="4" t="str">
        <x:v>2026-10-26</x:v>
      </x:c>
      <x:c r="N12" s="4" t="str"/>
      <x:c r="O12" s="4" t="str"/>
      <x:c r="P12" s="4" t="str"/>
      <x:c r="Q12" s="4" t="str"/>
      <x:c r="R12" s="4" t="str"/>
      <x:c r="S12" s="4" t="str"/>
      <x:c r="T12" s="4" t="str"/>
      <x:c r="U12" s="4" t="str"/>
    </x:row>
    <x:row r="13" ht="310" customHeight="1">
      <x:c r="A13" s="4" t="str">
        <x:v>S0117</x:v>
      </x:c>
      <x:c r="B13" s="4" t="str">
        <x:v>title_maize_with_gene_terms</x:v>
      </x:c>
      <x:c r="C13" s="4" t="str">
        <x:v>before_1990</x:v>
      </x:c>
      <x:c r="D13" s="4" t="str">
        <x:v>yes</x:v>
      </x:c>
      <x:c r="E13" s="4" t="str">
        <x:v>AGR:9915992290307426</x:v>
      </x:c>
      <x:c r="F13" s="4" t="str"/>
      <x:c r="G13" s="4" t="str">
        <x:v>Identification of Compounds Which Account for Variation in P Concentration in Corn Hybrids</x:v>
      </x:c>
      <x:c r="H13" s="4" t="str">
        <x:v>Phosphorus accumulation by corn (Zea mays L.) has been shown to be genetically controlled. Since the difference in accumulation of total P could have been due to metabolic differences resulting in the production of different amounts of one or several phosphorylated metabolites, a study of the chemical bases for the genetic differences between varieties of corn was performed. Extraction and analysis of dried, ground ear leaf samples indicated the presence of mostly inorganic P. Inorganic P was also found to be the major P component of extracts of fresh plants and leaves. Young plants and excised leaves of high accumulators were found to accumulate higher levels of P than low accumulators, but the difference was not as great as that reported for mature field-grown plants. Differences were found between varieties in the content of several P-containing components separated by ion exchange chromatography. The major component was orthophosphate. Orthophosphate was the only component which could account for the observed differences in P levels between varieties. This variation in the content of inorganic phosphate may be due to genetic differencs in th mechanism of absorption.</x:v>
      </x:c>
      <x:c r="I13" s="4" t="str"/>
      <x:c r="J13" s="4" t="str">
        <x:v>1971</x:v>
      </x:c>
      <x:c r="K13" s="4" t="str">
        <x:v>AGR</x:v>
      </x:c>
      <x:c r="L13" s="4" t="str">
        <x:v>9915992290307426</x:v>
      </x:c>
      <x:c r="M13" s="4" t="str">
        <x:v>2026-10-27</x:v>
      </x:c>
      <x:c r="N13" s="4" t="str"/>
      <x:c r="O13" s="4" t="str"/>
      <x:c r="P13" s="4" t="str"/>
      <x:c r="Q13" s="4" t="str"/>
      <x:c r="R13" s="4" t="str"/>
      <x:c r="S13" s="4" t="str"/>
      <x:c r="T13" s="4" t="str"/>
      <x:c r="U13" s="4" t="str"/>
    </x:row>
    <x:row r="14" ht="310" customHeight="1">
      <x:c r="A14" s="4" t="str">
        <x:v>S0316</x:v>
      </x:c>
      <x:c r="B14" s="4" t="str">
        <x:v>title_maize_without_gene_terms</x:v>
      </x:c>
      <x:c r="C14" s="4" t="str">
        <x:v>2010_2019</x:v>
      </x:c>
      <x:c r="D14" s="4" t="str">
        <x:v>yes</x:v>
      </x:c>
      <x:c r="E14" s="4" t="str">
        <x:v>MED:20973482</x:v>
      </x:c>
      <x:c r="F14" s="4" t="str">
        <x:v>10.1021/jf102514r</x:v>
      </x:c>
      <x:c r="G14" s="4" t="str">
        <x:v>Chemical structures of corn stover and its residue after dilute acid prehydrolysis and enzymatic hydrolysis: insight into factors limiting enzymatic hydrolysis.</x:v>
      </x:c>
      <x:c r="H14" s="4" t="str">
        <x:v>Advanced solid-state NMR techniques and wet chemical analyses were applied to investigate untreated corn stover (UCS) and its residues after dilute acid prehydrolysis (DAP) and enzymatic hydrolysis (RES) to provide evidence for the limitations to the effectiveness of enzyme hydrolysis. Advanced solid-state NMR spectral-editing techniques as well as 1H-13C two-dimensional heteronuclear correlation NMR (2D HETCOR) were employed. Our results indicated that dilute acid prehydrolysis selectively removed amorphous carbohydrates, increased aromatic CH/other protonated -C═C- and enriched alkyl CH and CH2 components. Cinnamic acids were increased, and proteinaceous materials and N-containing degradation or condensation compounds were absorbed or coprecipitated in RES. 2D HETCOR experiments indicated a close association between lignin and the residual carbohydrates. Ketones/aldehydes were not detected in the DAP, in contrast to a report in which an appreciable amount of ketones/aldehydes was generated from the acid pretreatment of a purified cellulose in the literature. This suggested that acid pretreatment may modify the structure of purified cellulose more than biomass and that biomass may be a better substrate than model biopolymers and compounds for assessing structural changes that occur with industrial processing. On the basis of NMR and wet chemical analyses, we found the following factors could cause the limitations to the effectiveness of enzymatic hydrolysis: (1) chemical modification of carbohydrates limited the biologically degradable carbohydrates available; (2) cinnamic acids in the residue accumulated; (3) accessibility was potentially limited due to the close association of carbohydrates with lignin; and (4) proteinaceous materials and N-containing degradation or condensation compounds were absorbed or coprecipitated.</x:v>
      </x:c>
      <x:c r="I14" s="4" t="str">
        <x:v>20973482</x:v>
      </x:c>
      <x:c r="J14" s="4" t="str">
        <x:v>2010</x:v>
      </x:c>
      <x:c r="K14" s="4" t="str">
        <x:v>MED</x:v>
      </x:c>
      <x:c r="L14" s="4" t="str">
        <x:v>20973482</x:v>
      </x:c>
      <x:c r="M14" s="4" t="str">
        <x:v>2026-10-27</x:v>
      </x:c>
      <x:c r="N14" s="4" t="str"/>
      <x:c r="O14" s="4" t="str"/>
      <x:c r="P14" s="4" t="str"/>
      <x:c r="Q14" s="4" t="str"/>
      <x:c r="R14" s="4" t="str"/>
      <x:c r="S14" s="4" t="str"/>
      <x:c r="T14" s="4" t="str"/>
      <x:c r="U14" s="4" t="str"/>
    </x:row>
    <x:row r="15" ht="310" customHeight="1">
      <x:c r="A15" s="4" t="str">
        <x:v>S0489</x:v>
      </x:c>
      <x:c r="B15" s="4" t="str">
        <x:v>abstract_maize_with_gene_terms</x:v>
      </x:c>
      <x:c r="C15" s="4" t="str">
        <x:v>2020_plus</x:v>
      </x:c>
      <x:c r="D15" s="4" t="str">
        <x:v>yes</x:v>
      </x:c>
      <x:c r="E15" s="4" t="str">
        <x:v>AGR:IND607875111</x:v>
      </x:c>
      <x:c r="F15" s="4" t="str">
        <x:v>10.1016/j.biocontrol.2022.105010</x:v>
      </x:c>
      <x:c r="G15" s="4" t="str">
        <x:v>Fungal endophyte Epicoccum nigrum 38L1 inhibits in vitro and in vivo the pathogenic fungus Fusarium graminearum</x:v>
      </x:c>
      <x:c r="H15" s="4" t="str">
        <x:v>Wheat (Triticum aestivum L.) and its products constitute a major part of the daily human and animal diet. However, Fusarium head blight caused by Fusarium graminearum is one of the most devastating fungal diseases in wheat. In this study, a fungal endophyte strain 38L1 was newly isolated from leaf of maize (Zea mays L.) and identified as Epicoccum nigrum using molecular phylogenetic analysis of the rDNA internal transcribed spacer (ITS), large subunit ribosomal RNA (LSU) and beta-tubulin (TUB) gene sequences. In dual cultures and double plate assays, strain 38L1 markedly inhibited the mycelial growth of F. graminearum strain PH-1 and four other pathogenic fungi including Botrytis cinerea strain P-1, Colletotrichum gloeosporioides strain Y-3, Botrytis cinerea strain F-2, and Sclerotinia sclerotiorum strain D-4, indicating a broad antifungal activity. Besides, culture filtrates of strain 38L1 indicated a high fungicidal effect resulting in a significant reduction of mycelial growth, mycelial biomass and spore germination of F. graminearum strain PH-1. Furthermore, the application of conidial suspensions and/or culture filtrates of E. nigrum strain 38L1 with spore suspensions of F. graminearum strain PH-1 on wheat spikes resulted in a significant biocontrol efficacy of Fusarium head blight in growth chamber and field conditions. Hence, these results suggest that E. nigrum strain 38L1 could be a potential biocontrol agent against F. graminearum strain PH-1 in vitro and in vivo.</x:v>
      </x:c>
      <x:c r="I15" s="4" t="str"/>
      <x:c r="J15" s="4" t="str">
        <x:v>2022</x:v>
      </x:c>
      <x:c r="K15" s="4" t="str">
        <x:v>AGR</x:v>
      </x:c>
      <x:c r="L15" s="4" t="str">
        <x:v>IND607875111</x:v>
      </x:c>
      <x:c r="M15" s="4" t="str">
        <x:v>2026-10-27</x:v>
      </x:c>
      <x:c r="N15" s="4" t="str"/>
      <x:c r="O15" s="4" t="str"/>
      <x:c r="P15" s="4" t="str"/>
      <x:c r="Q15" s="4" t="str"/>
      <x:c r="R15" s="4" t="str"/>
      <x:c r="S15" s="4" t="str"/>
      <x:c r="T15" s="4" t="str"/>
      <x:c r="U15" s="4" t="str"/>
    </x:row>
    <x:row r="16" ht="310" customHeight="1">
      <x:c r="A16" s="4" t="str">
        <x:v>S0436</x:v>
      </x:c>
      <x:c r="B16" s="4" t="str">
        <x:v>abstract_maize_with_gene_terms</x:v>
      </x:c>
      <x:c r="C16" s="4" t="str">
        <x:v>2010_2019</x:v>
      </x:c>
      <x:c r="D16" s="4" t="str">
        <x:v>yes</x:v>
      </x:c>
      <x:c r="E16" s="4" t="str">
        <x:v>PPR:PPR39568</x:v>
      </x:c>
      <x:c r="F16" s="4" t="str">
        <x:v>10.7287/peerj.preprints.685v1</x:v>
      </x:c>
      <x:c r="G16" s="4" t="str">
        <x:v>Natural variation in teosinte at the domestication locus teosinte branched1 ( tb1 )</x:v>
      </x:c>
      <x:c r="H16" s="4" t="str">
        <x:v>The teosinte branched1 ( tb1 ) gene is a major QTL controlling branching differences between maize and its wild progenitor, teosinte. The insertion of a transposable element ( Hopscotch ) upstream of tb1 is known to enhance the gene’s expression, causing reduced tillering in maize. Observations of the maize tb1 allele in teosinte and estimates of an insertion age of the Hopscotch that predates domestication led us to investigate its prevalence and potential role in teosinte. We assessed the prevalence of the Hopscotch element across an Americas-wide sample of 837 maize and teosinte individuals using a co-dominant PCR assay. Additionally, we calculated population genetic summaries using sequence data from a subset of individuals from four teosinte populations and collected phenotypic data using seed from a single teosinte population where Hopscotch was found segregating at high frequency. Genotyping results indicate the Hopscotch element is found in a number of teosinte populations and linkage disequilibrium near tb1 does not support recent introgression from maize. Population genetic signatures are consistent with selection on the tb1 locus revealing a potential ecological role, but a greenhouse experiment does not detect a strong association between the Hopscotch and tillering in teosinte. Our findings suggest the role of Hopscotch differs between maize and teosinte. Future work should assess tb1 expression levels in teosinte with and without the Hopscotch and more comprehensively phenotype teosinte to assess the ecological significance of the Hopscotch insertion and, more broadly, the tb1 locus in teosinte.</x:v>
      </x:c>
      <x:c r="I16" s="4" t="str"/>
      <x:c r="J16" s="4" t="str">
        <x:v>2014</x:v>
      </x:c>
      <x:c r="K16" s="4" t="str">
        <x:v>PPR</x:v>
      </x:c>
      <x:c r="L16" s="4" t="str">
        <x:v>PPR39568</x:v>
      </x:c>
      <x:c r="M16" s="4" t="str">
        <x:v>2026-10-27</x:v>
      </x:c>
      <x:c r="N16" s="4" t="str"/>
      <x:c r="O16" s="4" t="str"/>
      <x:c r="P16" s="4" t="str"/>
      <x:c r="Q16" s="4" t="str"/>
      <x:c r="R16" s="4" t="str"/>
      <x:c r="S16" s="4" t="str"/>
      <x:c r="T16" s="4" t="str"/>
      <x:c r="U16" s="4" t="str"/>
    </x:row>
    <x:row r="17" ht="310" customHeight="1">
      <x:c r="A17" s="4" t="str">
        <x:v>S0093</x:v>
      </x:c>
      <x:c r="B17" s="4" t="str">
        <x:v>title_maize_without_gene_terms</x:v>
      </x:c>
      <x:c r="C17" s="4" t="str">
        <x:v>2020_plus</x:v>
      </x:c>
      <x:c r="D17" s="4" t="str">
        <x:v>yes</x:v>
      </x:c>
      <x:c r="E17" s="4" t="str">
        <x:v>AGR:IND609101513</x:v>
      </x:c>
      <x:c r="F17" s="4" t="str"/>
      <x:c r="G17" s="4" t="str">
        <x:v>Response of wheat and maize yields to different tillage practices across China: A meta-analysis</x:v>
      </x:c>
      <x:c r="H17" s="4" t="str">
        <x:v>Tillage practice can change soil properties, regulate crop root development and nutrient availability, thus affecting crop growth and yield. However, the effect of no tillage (NT) and deep tillage (DT) on crop yield relative to conventional tillage (CT) under varied environmental and management conditions is unclear in China. We assessed the yield response of wheat and maize to NT and DT relative to CT based on collected field data (518 observations) with a meta-analysis. In general, NT led to negative yield response of both crops relative to CT, whereas maize presented a positive yield response (6.0 %) to NT in sandy soil, and crop yield responses to NT were not significantly different among environmental and management factors. DT significantly increased the yield of wheat (8.7 %) and maize (8.2 %) over CT. For wheat, the yield response to DT was similar across soil textures, climate conditions, experiment durations, N fertilizer rates, and residue managements; however, the interval DT every 2–3 years (13.2 %) and monoculture (13.9 %) increased yield response than the continuous DT (8.4 %) and double cropping system (8.9 %), respectively. The yield response of maize to DT was greater in semidry region (16.1 %) and under high N fertilizer rate (&gt;300 kg N ha⁻¹) (16.1 %), interval DT (12.4 %) compared with those in humid (7.5 %) and semi-humid (6.8 %) regions, low N fertilizer rates (&lt;300 kg N ha⁻¹) (6.9 %−7.5 %), and continuous DT (7.8 %), respectively; but other environmental and management factors did not affect its yield response. Overall, NT presented similar yield of wheat and maize to CT, while DT significantly enhanced their yields; this analysis revealed the crucial environmental and management factors influencing yield response to tillage practices in China, we also gave some suggestions on selecting appropriate tillage methods to realize high crop yield or/and agricultural sustainable development.</x:v>
      </x:c>
      <x:c r="I17" s="4" t="str"/>
      <x:c r="J17" s="4" t="str">
        <x:v>2023</x:v>
      </x:c>
      <x:c r="K17" s="4" t="str">
        <x:v>AGR</x:v>
      </x:c>
      <x:c r="L17" s="4" t="str">
        <x:v>IND609101513</x:v>
      </x:c>
      <x:c r="M17" s="4" t="str">
        <x:v>2026-10-27</x:v>
      </x:c>
      <x:c r="N17" s="4" t="str"/>
      <x:c r="O17" s="4" t="str"/>
      <x:c r="P17" s="4" t="str"/>
      <x:c r="Q17" s="4" t="str"/>
      <x:c r="R17" s="4" t="str"/>
      <x:c r="S17" s="4" t="str"/>
      <x:c r="T17" s="4" t="str"/>
      <x:c r="U17" s="4" t="str"/>
    </x:row>
    <x:row r="18" ht="310" customHeight="1">
      <x:c r="A18" s="4" t="str">
        <x:v>S0314</x:v>
      </x:c>
      <x:c r="B18" s="4" t="str">
        <x:v>abstract_maize_with_gene_terms</x:v>
      </x:c>
      <x:c r="C18" s="4" t="str">
        <x:v>2020_plus</x:v>
      </x:c>
      <x:c r="D18" s="4" t="str">
        <x:v>yes</x:v>
      </x:c>
      <x:c r="E18" s="4" t="str">
        <x:v>MED:32040939</x:v>
      </x:c>
      <x:c r="F18" s="4" t="str">
        <x:v>10.1071/fp19213</x:v>
      </x:c>
      <x:c r="G18" s="4" t="str">
        <x:v>Effects of contrasting shade treatments on the carbon production and antioxidant activities of soybean plants.</x:v>
      </x:c>
      <x:c r="H18" s="4" t="str">
        <x:v>In China, maize-soybean relay-intercropping system follow the two main planting-patterns: (i) traditional relay-intercropping; maize-soybean equal row planting, where soybean experience severe maize shading on both sides of plants, and (ii) modern relay-intercropping; narrow-wide row planting, in this new planting pattern only one side of soybean leaves suffer from maize shading. Therefore, in this study, changes in morphological traits, cytochrome content, photosynthetic characteristics, carbon status, and the activities of superoxide dismutase (SOD), peroxidase (POD), catalase (CAT) and ascorbate peroxidase (APX) were investigated at 30 days after treatment (DAT) in shade-tolerant soybean variety Nandou-12 subjected to three different types of shading conditions; normal light (NL, all trifoliate-leaves of soybean plants were under normal light); unilateral shade (US, all right-side trifoliate-leaves of soybean plants from top to bottom were under shade while all the left-side of trifoliate-leaves from top to bottom were in normal light); bilateral shade (BS, all trifoliate-leaves of soybean plants were under complete shade). Compared with BS, US conditions decreased plant height and increased stem diameter, leaf area, and biomass at 30 DAT. Biomass distribution rates to stem, petiole and leaves, and photosynthetic characteristics were markedly improved by the US at all sampling stages, which proved to be a better growing condition than BS with respect to shade tolerance. The enhanced net photosynthesis and transpiration rates in the left-side leaves (LS) of soybean plants in US, when compared with the LS in BS, allowed them to produce higher total soluble sugar (by 70%) and total soluble protein (by 17%) at 30 DAT which reduce the adverse effects of shading at right-side leaves (RS) of the soybean plants. Similarly, soybean leaves under US accumulated higher proline content in US than the leaves of BS plants. Soybean leaves grown in shading conditions (LS and RS of BS and RS of US) developed antioxidative defence-mechanisms, including the accelerated activities of SOD, POD, APX, and CAT. Comparatively, soybean leaves in US displayed lower activity levels of the antioxidative enzymes than the leaves of BS plants, showing that soybean plants experienced less shade stress in US as compared with BS treatment. Overall, these results indicate that the association of improved photosynthetic characteristics, sugar and protein accumulation and optimum antioxidative defences could be an effective approach for growing soybean in intercropping environments.</x:v>
      </x:c>
      <x:c r="I18" s="4" t="str">
        <x:v>32040939</x:v>
      </x:c>
      <x:c r="J18" s="4" t="str">
        <x:v>2020</x:v>
      </x:c>
      <x:c r="K18" s="4" t="str">
        <x:v>MED</x:v>
      </x:c>
      <x:c r="L18" s="4" t="str">
        <x:v>32040939</x:v>
      </x:c>
      <x:c r="M18" s="4" t="str">
        <x:v>2026-10-27</x:v>
      </x:c>
      <x:c r="N18" s="4" t="str"/>
      <x:c r="O18" s="4" t="str"/>
      <x:c r="P18" s="4" t="str"/>
      <x:c r="Q18" s="4" t="str"/>
      <x:c r="R18" s="4" t="str"/>
      <x:c r="S18" s="4" t="str"/>
      <x:c r="T18" s="4" t="str"/>
      <x:c r="U18" s="4" t="str"/>
    </x:row>
    <x:row r="19" ht="310" customHeight="1">
      <x:c r="A19" s="4" t="str">
        <x:v>S0477</x:v>
      </x:c>
      <x:c r="B19" s="4" t="str">
        <x:v>abstract_maize_with_gene_terms</x:v>
      </x:c>
      <x:c r="C19" s="4" t="str">
        <x:v>2010_2019</x:v>
      </x:c>
      <x:c r="D19" s="4" t="str">
        <x:v>yes</x:v>
      </x:c>
      <x:c r="E19" s="4" t="str">
        <x:v>ETH:787381</x:v>
      </x:c>
      <x:c r="F19" s="4" t="str"/>
      <x:c r="G19" s="4" t="str">
        <x:v>Impact of processing on the carbohydrate quality and digestibility of pearl millet (Pennisetum glaucum)</x:v>
      </x:c>
      <x:c r="H19" s="4" t="str">
        <x:v>Pearl millet (Pennisetum glaucum) is a climate resilient cereal consumed widely in traditional diets in rural regions of Africa. It is a source of complex carbohydrates, and has a high content of protein and minerals compared to maize, rice and sorghum. Previous research has suggested beneficial effects of consumption of complex carbohydrates. However, there is limited research on the impact of processing on carbohydrate quality and digestibility of traditional millet products. In this study, the impact of domestic processing on the carbohydrate composition and digestion pearl millet was investigated. Nigerian pearl millet was milled into flour particles ranging from 250 to 1000 µM in size and flours were used to prepare unfermented cooked porridge (ibyer) and fermented porridge (ibyer-i-angen) up to 72 h fermentation. The protocols for carbohydrate analysis and starch digestion used in this study were optimised using millet flour and validated with cooked samples. The optimisation of carbohydrate analysis and starch digestion indicated that agitation is a key factor for the extraction of soluble sugars and effective digestion of millet starch. Some commercial enzymes used in carbohydrate digestion contained ... (continues)</x:v>
      </x:c>
      <x:c r="I19" s="4" t="str"/>
      <x:c r="J19" s="4" t="str">
        <x:v>2019</x:v>
      </x:c>
      <x:c r="K19" s="4" t="str">
        <x:v>ETH</x:v>
      </x:c>
      <x:c r="L19" s="4" t="str">
        <x:v>787381</x:v>
      </x:c>
      <x:c r="M19" s="4" t="str">
        <x:v>2026-10-27</x:v>
      </x:c>
      <x:c r="N19" s="4" t="str"/>
      <x:c r="O19" s="4" t="str"/>
      <x:c r="P19" s="4" t="str"/>
      <x:c r="Q19" s="4" t="str"/>
      <x:c r="R19" s="4" t="str"/>
      <x:c r="S19" s="4" t="str"/>
      <x:c r="T19" s="4" t="str"/>
      <x:c r="U19" s="4" t="str"/>
    </x:row>
    <x:row r="20" ht="310" customHeight="1">
      <x:c r="A20" s="4" t="str">
        <x:v>S0409</x:v>
      </x:c>
      <x:c r="B20" s="4" t="str">
        <x:v>title_maize_with_gene_terms</x:v>
      </x:c>
      <x:c r="C20" s="4" t="str">
        <x:v>2010_2019</x:v>
      </x:c>
      <x:c r="D20" s="4" t="str">
        <x:v>yes</x:v>
      </x:c>
      <x:c r="E20" s="4" t="str">
        <x:v>MED:31006149</x:v>
      </x:c>
      <x:c r="F20" s="4" t="str">
        <x:v>10.1111/tpj.14341</x:v>
      </x:c>
      <x:c r="G20" s="4" t="str">
        <x:v>MaizeNet: a co-functional network for network-assisted systems genetics in Zea mays.</x:v>
      </x:c>
      <x:c r="H20" s="4" t="str">
        <x:v>Maize (Zea mays) has multiple uses in human food, animal fodder, starch and sweetener production and as a biofuel, and is accordingly the most extensively cultivated cereal worldwide. To enhance maize production, genetic factors underlying important agricultural traits, including stress tolerance and flowering, have been explored through forward and reverse genetics approaches. Co-functional gene networks are systems biology resources useful in identifying trait-associated genes in plants by prioritizing candidate genes. Here, we present MaizeNet (http://www.inetbio.org/maizenet/), a genome-scale co-functional network of Z. mays genes, and a companion web server for network-assisted systems genetics. We describe the validation of MaizeNet network quality and its ability to functionally predict molecular pathways and complex traits in maize. Furthermore, we demonstrate that MaizeNet-based prioritization of candidate genes can facilitate the identification of cell wall biosynthesis genes and detect network communities associated with flowering-time candidate genes derived from genome-wide association studies. The demonstrated gene prioritization and subnetwork analysis can be conducted by simply submitting maize gene models based on the commonly used B73 RefGen_v3 and the latest B73 RefGen_v4 reference genomes on the MaizeNet web server. MaizeNet-based network-assisted systems genetics will substantially accelerate the discovery of trait-associated genes for crop improvement.</x:v>
      </x:c>
      <x:c r="I20" s="4" t="str">
        <x:v>31006149</x:v>
      </x:c>
      <x:c r="J20" s="4" t="str">
        <x:v>2019</x:v>
      </x:c>
      <x:c r="K20" s="4" t="str">
        <x:v>MED</x:v>
      </x:c>
      <x:c r="L20" s="4" t="str">
        <x:v>31006149</x:v>
      </x:c>
      <x:c r="M20" s="4" t="str">
        <x:v>2026-10-27</x:v>
      </x:c>
      <x:c r="N20" s="4" t="str"/>
      <x:c r="O20" s="4" t="str"/>
      <x:c r="P20" s="4" t="str"/>
      <x:c r="Q20" s="4" t="str"/>
      <x:c r="R20" s="4" t="str"/>
      <x:c r="S20" s="4" t="str"/>
      <x:c r="T20" s="4" t="str"/>
      <x:c r="U20" s="4" t="str"/>
    </x:row>
    <x:row r="21" ht="310" customHeight="1">
      <x:c r="A21" s="4" t="str">
        <x:v>S0301</x:v>
      </x:c>
      <x:c r="B21" s="4" t="str">
        <x:v>no_explicit_maize_with_gene_terms</x:v>
      </x:c>
      <x:c r="C21" s="4" t="str">
        <x:v>2020_plus</x:v>
      </x:c>
      <x:c r="D21" s="4" t="str">
        <x:v>yes</x:v>
      </x:c>
      <x:c r="E21" s="4" t="str">
        <x:v>MED:32765543</x:v>
      </x:c>
      <x:c r="F21" s="4" t="str">
        <x:v>10.3389/fpls.2020.00947</x:v>
      </x:c>
      <x:c r="G21" s="4" t="str">
        <x:v>Combining Partially Overlapping Multi-Omics Data in Databases Using Relationship Matrices.</x:v>
      </x:c>
      <x:c r="H21" s="4" t="str">
        <x:v>Private and public breeding programs, as well as companies and universities, have developed different genomics technologies that have resulted in the generation of unprecedented amounts of sequence data, which bring new challenges in terms of data management, query, and analysis. The magnitude and complexity of these datasets bring new challenges but also an opportunity to use the data available as a whole. Detailed phenotype data, combined with increasing amounts of genomic data, have an enormous potential to accelerate the identification of key traits to improve our understanding of quantitative genetics. Data harmonization enables cross-national and international comparative research, facilitating the extraction of new scientific knowledge. In this paper, we address the complex issue of combining high dimensional and unbalanced omics data. More specifically, we propose a covariance-based method for combining partial datasets in the genotype to phenotype spectrum. This method can be used to combine partially overlapping relationship/covariance matrices. Here, we show with applications that our approach might be advantageous to feature imputation based approaches; we demonstrate how this method can be used in genomic prediction using heterogeneous marker data and also how to combine the data from multiple phenotypic experiments to make inferences about previously unobserved trait relationships. Our results demonstrate that it is possible to harmonize datasets to improve available information across gene-banks, data repositories, or other data resources.</x:v>
      </x:c>
      <x:c r="I21" s="4" t="str">
        <x:v>32765543</x:v>
      </x:c>
      <x:c r="J21" s="4" t="str">
        <x:v>2020</x:v>
      </x:c>
      <x:c r="K21" s="4" t="str">
        <x:v>MED</x:v>
      </x:c>
      <x:c r="L21" s="4" t="str">
        <x:v>32765543</x:v>
      </x:c>
      <x:c r="M21" s="4" t="str">
        <x:v>2026-10-27</x:v>
      </x:c>
      <x:c r="N21" s="4" t="str"/>
      <x:c r="O21" s="4" t="str"/>
      <x:c r="P21" s="4" t="str"/>
      <x:c r="Q21" s="4" t="str"/>
      <x:c r="R21" s="4" t="str"/>
      <x:c r="S21" s="4" t="str"/>
      <x:c r="T21" s="4" t="str"/>
      <x:c r="U21" s="4" t="str"/>
    </x:row>
    <x:row r="22" ht="310" customHeight="1">
      <x:c r="A22" s="4" t="str">
        <x:v>S0420</x:v>
      </x:c>
      <x:c r="B22" s="4" t="str">
        <x:v>title_maize_without_gene_terms</x:v>
      </x:c>
      <x:c r="C22" s="4" t="str">
        <x:v>2000_2009</x:v>
      </x:c>
      <x:c r="D22" s="4" t="str">
        <x:v>yes</x:v>
      </x:c>
      <x:c r="E22" s="4" t="str">
        <x:v>MED:14575658</x:v>
      </x:c>
      <x:c r="F22" s="4" t="str">
        <x:v>10.1016/s0022-5193(03)00243-1</x:v>
      </x:c>
      <x:c r="G22" s="4" t="str">
        <x:v>Spatially explicit modelling of transgenic maize pollen dispersal and cross-pollination.</x:v>
      </x:c>
      <x:c r="H22" s="4" t="str">
        <x:v>Modelling of pollen dispersal and cross-pollination is of great importance for the ongoing discussion on thresholds for the adventitious presence of genetically modified material in food and feed. Two different modelling approaches for pollen dispersal are used to simulate the cross-pollination rate of pollen emerged from an adjacent transgenic crop field. The models are applied to cross-pollination data from field experiments with transgenic maize (Zea mays). The data were generated by an experimental setup specifically designed to suit the demands of mathematical modelling. First a Gaussian plume model is used for the simulation of pollen transport in and from plant canopies. This is a semiempirical approach combining the atmospheric diffusion equation and Lagrangian methodology. The second model is derived from the localised near field (LNF) theory and based on the physical processes in the canopy. Both modelling approaches prove to be appropriate for the simulation of the cross-pollination rates at distances of about 7.5m and more from the transgene source. The simulation of the cross-pollination rate is less precise at the edge of the source plot especially with the LNF theory. However, the simulation results lie within the range of variability of the observations. Concluding can be pointed out that both models might be adapted to other pollen dispersal experiments of different crops and plot sizes.</x:v>
      </x:c>
      <x:c r="I22" s="4" t="str">
        <x:v>14575658</x:v>
      </x:c>
      <x:c r="J22" s="4" t="str">
        <x:v>2003</x:v>
      </x:c>
      <x:c r="K22" s="4" t="str">
        <x:v>MED</x:v>
      </x:c>
      <x:c r="L22" s="4" t="str">
        <x:v>14575658</x:v>
      </x:c>
      <x:c r="M22" s="4" t="str">
        <x:v>2026-10-27</x:v>
      </x:c>
      <x:c r="N22" s="4" t="str"/>
      <x:c r="O22" s="4" t="str"/>
      <x:c r="P22" s="4" t="str"/>
      <x:c r="Q22" s="4" t="str"/>
      <x:c r="R22" s="4" t="str"/>
      <x:c r="S22" s="4" t="str"/>
      <x:c r="T22" s="4" t="str"/>
      <x:c r="U22" s="4" t="str"/>
    </x:row>
    <x:row r="23" ht="310" customHeight="1">
      <x:c r="A23" s="4" t="str">
        <x:v>S0175</x:v>
      </x:c>
      <x:c r="B23" s="4" t="str">
        <x:v>no_explicit_maize_without_gene_terms</x:v>
      </x:c>
      <x:c r="C23" s="4" t="str">
        <x:v>2010_2019</x:v>
      </x:c>
      <x:c r="D23" s="4" t="str">
        <x:v>yes</x:v>
      </x:c>
      <x:c r="E23" s="4" t="str">
        <x:v>MED:32626142</x:v>
      </x:c>
      <x:c r="F23" s="4" t="str">
        <x:v>10.2903/j.efsa.2019.5862</x:v>
      </x:c>
      <x:c r="G23" s="4" t="str">
        <x:v>Review of the existing maximum residue levels for glyphosate according to Article 12 of Regulation (EC) No 396/2005 - revised version to take into account omitted data.</x:v>
      </x:c>
      <x:c r="H23" s="4" t="str">
        <x:v>The EFSA received from the European Commission a mandate to revise its previous review of the existing maximum residue levels (MRLs) for glyphosate taking into account additional data that were erroneously omitted in the evaluation report supporting the original MRL review. These additional data were evaluated by the Rapporteur Member State (RMS), Germany, and made available to EFSA in an addendum. Based on the assessment of the overall data available, MRL proposals were derived and a consumer risk assessment was carried out. Although no apparent risk to consumers was identified, some information required by the regulatory framework was missing. The consumer risk assessment is considered indicative only and some MRL proposals derived by EFSA still require further consideration by risk managers.</x:v>
      </x:c>
      <x:c r="I23" s="4" t="str">
        <x:v>32626142</x:v>
      </x:c>
      <x:c r="J23" s="4" t="str">
        <x:v>2019</x:v>
      </x:c>
      <x:c r="K23" s="4" t="str">
        <x:v>MED</x:v>
      </x:c>
      <x:c r="L23" s="4" t="str">
        <x:v>32626142</x:v>
      </x:c>
      <x:c r="M23" s="4" t="str">
        <x:v>2026-10-27</x:v>
      </x:c>
      <x:c r="N23" s="4" t="str"/>
      <x:c r="O23" s="4" t="str"/>
      <x:c r="P23" s="4" t="str"/>
      <x:c r="Q23" s="4" t="str"/>
      <x:c r="R23" s="4" t="str"/>
      <x:c r="S23" s="4" t="str"/>
      <x:c r="T23" s="4" t="str"/>
      <x:c r="U23" s="4" t="str"/>
    </x:row>
    <x:row r="24" ht="310" customHeight="1">
      <x:c r="A24" s="4" t="str">
        <x:v>S0240</x:v>
      </x:c>
      <x:c r="B24" s="4" t="str">
        <x:v>title_maize_without_gene_terms</x:v>
      </x:c>
      <x:c r="C24" s="4" t="str">
        <x:v>2020_plus</x:v>
      </x:c>
      <x:c r="D24" s="4" t="str">
        <x:v>yes</x:v>
      </x:c>
      <x:c r="E24" s="4" t="str">
        <x:v>ETH:813238</x:v>
      </x:c>
      <x:c r="F24" s="4" t="str"/>
      <x:c r="G24" s="4" t="str">
        <x:v>Pathways to deeper roots : anatomical phenes of maize under impedance</x:v>
      </x:c>
      <x:c r="H24" s="4" t="str">
        <x:v>When roots grow through soil they experience mechanical impedance to varying extents. When levels of mechanical impedance become greater, for instance when soils become compacted or soil moisture decreases, roots can become obstructed. As a consequence the uptake of nutrients and water from the soil reduces, which can reduce plant growth and ultimately negatively impact yield. In this work field trials were conducted at two different field sites (one at the Apache Root Biology Centre in Willcox, Arizona and one at the Russell E. Larson Agricultural Research Center in Rock Springs, Pennsylvania) to study the differential distribution of maize roots following the interaction with a compacted soil profile. In soils with compacted plots the rooting depth of coarse roots was not correlated with coarse root length, which indicated that nodal roots of some genotypes were able to grow under impeding conditions while other genotypes were not capable of growing through impeding conditions. Furthermore genotypes were identified which had similar rooting depths but contrasting coarse root lengths, these genotypes were equally able to reach to deeper depths. The amount of roots formed by the root system therefore does ... (continues)</x:v>
      </x:c>
      <x:c r="I24" s="4" t="str"/>
      <x:c r="J24" s="4" t="str">
        <x:v>2020</x:v>
      </x:c>
      <x:c r="K24" s="4" t="str">
        <x:v>ETH</x:v>
      </x:c>
      <x:c r="L24" s="4" t="str">
        <x:v>813238</x:v>
      </x:c>
      <x:c r="M24" s="4" t="str">
        <x:v>2026-10-27</x:v>
      </x:c>
      <x:c r="N24" s="4" t="str"/>
      <x:c r="O24" s="4" t="str"/>
      <x:c r="P24" s="4" t="str"/>
      <x:c r="Q24" s="4" t="str"/>
      <x:c r="R24" s="4" t="str"/>
      <x:c r="S24" s="4" t="str"/>
      <x:c r="T24" s="4" t="str"/>
      <x:c r="U24" s="4" t="str"/>
    </x:row>
    <x:row r="25" ht="310" customHeight="1">
      <x:c r="A25" s="4" t="str">
        <x:v>S0457</x:v>
      </x:c>
      <x:c r="B25" s="4" t="str">
        <x:v>abstract_maize_with_gene_terms</x:v>
      </x:c>
      <x:c r="C25" s="4" t="str">
        <x:v>2010_2019</x:v>
      </x:c>
      <x:c r="D25" s="4" t="str">
        <x:v>yes</x:v>
      </x:c>
      <x:c r="E25" s="4" t="str">
        <x:v>MED:21324881</x:v>
      </x:c>
      <x:c r="F25" s="4" t="str">
        <x:v>10.1101/gr.112094.110</x:v>
      </x:c>
      <x:c r="G25" s="4" t="str">
        <x:v>Sequence-based physical mapping of complex genomes by whole genome profiling.</x:v>
      </x:c>
      <x:c r="H25" s="4" t="str">
        <x:v>We present whole genome profiling (WGP), a novel next-generation sequencing-based physical mapping technology for construction of bacterial artificial chromosome (BAC) contigs of complex genomes, using Arabidopsis thaliana as an example. WGP leverages short read sequences derived from restriction fragments of two-dimensionally pooled BAC clones to generate sequence tags. These sequence tags are assigned to individual BAC clones, followed by assembly of BAC contigs based on shared regions containing identical sequence tags. Following in silico analysis of WGP sequence tags and simulation of a map of Arabidopsis chromosome 4 and maize, a WGP map of Arabidopsis thaliana ecotype Columbia was constructed de novo using a six-genome equivalent BAC library. Validation of the WGP map using the Columbia reference sequence confirmed that 350 BAC contigs (98%) were assembled correctly, spanning 97% of the 102-Mb calculated genome coverage. We demonstrate that WGP maps can also be generated for more complex plant genomes and will serve as excellent scaffolds to anchor genetic linkage maps and integrate whole genome sequence data.</x:v>
      </x:c>
      <x:c r="I25" s="4" t="str">
        <x:v>21324881</x:v>
      </x:c>
      <x:c r="J25" s="4" t="str">
        <x:v>2011</x:v>
      </x:c>
      <x:c r="K25" s="4" t="str">
        <x:v>MED</x:v>
      </x:c>
      <x:c r="L25" s="4" t="str">
        <x:v>21324881</x:v>
      </x:c>
      <x:c r="M25" s="4" t="str">
        <x:v>2026-10-27</x:v>
      </x:c>
      <x:c r="N25" s="4" t="str"/>
      <x:c r="O25" s="4" t="str"/>
      <x:c r="P25" s="4" t="str"/>
      <x:c r="Q25" s="4" t="str"/>
      <x:c r="R25" s="4" t="str"/>
      <x:c r="S25" s="4" t="str"/>
      <x:c r="T25" s="4" t="str"/>
      <x:c r="U25" s="4" t="str"/>
    </x:row>
    <x:row r="26" ht="310" customHeight="1">
      <x:c r="A26" s="4" t="str">
        <x:v>S0321</x:v>
      </x:c>
      <x:c r="B26" s="4" t="str">
        <x:v>title_maize_without_gene_terms</x:v>
      </x:c>
      <x:c r="C26" s="4" t="str">
        <x:v>2020_plus</x:v>
      </x:c>
      <x:c r="D26" s="4" t="str">
        <x:v>yes</x:v>
      </x:c>
      <x:c r="E26" s="4" t="str">
        <x:v>AGR:IND606784095</x:v>
      </x:c>
      <x:c r="F26" s="4" t="str"/>
      <x:c r="G26" s="4" t="str">
        <x:v>The effects of projected climate change and extreme climate on maize and rice in the Yangtze River Basin, China</x:v>
      </x:c>
      <x:c r="H26" s="4" t="str">
        <x:v>crop yield is highly sensitive to climate change and extreme climate. Here, the impact of climate change and extreme climate was assessed based on the climate variable outputs from 17 General Circumstance Models (GCMs) in the Coupled Model Inter-comparison Project phase five (CMIP5) dataset, a statistically downscaling method, a series of 12 extreme climate indices selected from the Expert Team on Climate Change Detection and Indices (ETCCDI) calculated using the downscaled climate variable outputs and a process–base Crop Simulation Model (CSM). The climate variable outputs consist history data series (1961–2005) of GCMs simulation used as baseline, future period (2006–2050) including two Representative Concentration Pathways (RCPs), 4.5 and 8.5 in the Yangtze River Basin. The results showed that: (1) the mean temperature and precipitation in growing season would increase for 81 stations for the future period under RCP4.5 and RCP8.5 relative to baseline in the Yangtze River Basin. In contrast, the mean downward shortwave solar radiation in growing season at most sites presented an upward trend for the future period under RCP4.5 and RCP8.5 relative to baseline in the Yangtze River Basin; (2) the maize and rice yield was projected to decrease by approximately 5.36% and 2.55% under RCP4.5 and 6.04% and 2.48% under RCP8.5, respectively, relative to baseline with consideration of the CO₂ effect; (3) The maize and rice yield would be lowered by 2.995% and 2.268% with a 1 °C increase in the mean growing season temperature, respectively. Conversely, the maize and rice yield would increase by approximately 6.947% and 2.885% with a 1 MJ m⁻² increase in the mean growing season downward shortwave solar radiation, respectively. Extreme climate indices were strongly correlated with the maize and rice yield, especially in the number of days above temperature threshold, maximum number of consecutive days with precipitation &lt;1 mm, maximum daily highest temperature, number of heavy precipitation when precipitation ≥10 mm and precipitation ≥20 mm in the Yangtze River Basin. Although uncertainties might arise from not considering the adaptation strategies, this study highlights how climate change including temperature, solar radiation, water use and extreme climate will affect the maize and rice yield in the Yangtze River Basin.</x:v>
      </x:c>
      <x:c r="I26" s="4" t="str"/>
      <x:c r="J26" s="4" t="str">
        <x:v>2020</x:v>
      </x:c>
      <x:c r="K26" s="4" t="str">
        <x:v>AGR</x:v>
      </x:c>
      <x:c r="L26" s="4" t="str">
        <x:v>IND606784095</x:v>
      </x:c>
      <x:c r="M26" s="4" t="str">
        <x:v>2026-10-27</x:v>
      </x:c>
      <x:c r="N26" s="4" t="str"/>
      <x:c r="O26" s="4" t="str"/>
      <x:c r="P26" s="4" t="str"/>
      <x:c r="Q26" s="4" t="str"/>
      <x:c r="R26" s="4" t="str"/>
      <x:c r="S26" s="4" t="str"/>
      <x:c r="T26" s="4" t="str"/>
      <x:c r="U26" s="4" t="str"/>
    </x:row>
    <x:row r="27" ht="310" customHeight="1">
      <x:c r="A27" s="4" t="str">
        <x:v>S0251</x:v>
      </x:c>
      <x:c r="B27" s="4" t="str">
        <x:v>abstract_maize_with_gene_terms</x:v>
      </x:c>
      <x:c r="C27" s="4" t="str">
        <x:v>1990_1999</x:v>
      </x:c>
      <x:c r="D27" s="4" t="str">
        <x:v>yes</x:v>
      </x:c>
      <x:c r="E27" s="4" t="str">
        <x:v>MED:16667817</x:v>
      </x:c>
      <x:c r="F27" s="4" t="str">
        <x:v>10.1104/pp.94.3.1199</x:v>
      </x:c>
      <x:c r="G27" s="4" t="str">
        <x:v>Lysophosphatidate Acyltransferase in the Microsomes from Maturing Seeds of Meadowfoam (Limnanthes alba).</x:v>
      </x:c>
      <x:c r="H27" s="4" t="str">
        <x:v>Lysophosphatidate (LPA) acyltransferase (EC 2.3. 1.51) in the microsomes from the maturing seeds of meadowfoam (Limnanthes alba), nasturtium (Tropaeolum majus), palm (Syagrus cocoides), castor bean (Ricinus communis), soybean (Glycine max), maize (Zea mays), and rapeseed (Brassica napus) were tested for their specificities toward 1-oleoyl-LPA or 1-erucoyl-LPA, and oleoyl coenzyme A (CoA) or erucoyl CoA. All the enzymes could use either of the two acyl acceptors and oleoyl CoA, but only the meadowfoam enzyme could use erucoyl CoA as the acyl donor to produce dierucoyl phosphatidic acid (PA). The meadowfoam enzyme was studied further. It had an optimal activity at pH 7 to 8, and its activity was inhibited by 1 millimolar MnCl(2), ZnCl(2), or p-chloromercuribenzoate. In a test of substrate specificity using increasing concentrations of either 1-oleoyl-LPA or 1-erucoyl-LPA, and either oleoyl CoA or erucoyl CoA, the enzyme activity in producing PA was highest for dioleoyl-PA, followed successively by 1-oleoyl-2-erucoyl-PA, dierucoyl-PA, and 1-erucoyl-2-oleoyl-PA. In a test of substrate selectivity using a fixed combined concentration, but varying proportions, of 1-oleoyl-LPA and 1-erucoyl-LPA, and of oleoyl CoA and erucoyl CoA, the enzyme showed a pattern of acyl preference similar to that observed in the test of substrate specificity, but the preference toward oleoyl moiety in the substrates was slightly stronger. The meadowfoam microsomes could convert [(14)C]glycerol-3-phosphate to diacylglycerols and triacylglycerols in the presence of erucoyl CoA. The meadowfoam LPA acyltransferase is unique in its ability to produce dierucoyl-PA, and should be a prime candidate for use in the production of trierucin oils in rapeseed via genetic engineering.</x:v>
      </x:c>
      <x:c r="I27" s="4" t="str">
        <x:v>16667817</x:v>
      </x:c>
      <x:c r="J27" s="4" t="str">
        <x:v>1990</x:v>
      </x:c>
      <x:c r="K27" s="4" t="str">
        <x:v>MED</x:v>
      </x:c>
      <x:c r="L27" s="4" t="str">
        <x:v>16667817</x:v>
      </x:c>
      <x:c r="M27" s="4" t="str">
        <x:v>2026-10-27</x:v>
      </x:c>
      <x:c r="N27" s="4" t="str"/>
      <x:c r="O27" s="4" t="str"/>
      <x:c r="P27" s="4" t="str"/>
      <x:c r="Q27" s="4" t="str"/>
      <x:c r="R27" s="4" t="str"/>
      <x:c r="S27" s="4" t="str"/>
      <x:c r="T27" s="4" t="str"/>
      <x:c r="U27" s="4" t="str"/>
    </x:row>
    <x:row r="28" ht="310" customHeight="1">
      <x:c r="A28" s="4" t="str">
        <x:v>S0120</x:v>
      </x:c>
      <x:c r="B28" s="4" t="str">
        <x:v>title_maize_with_gene_terms</x:v>
      </x:c>
      <x:c r="C28" s="4" t="str">
        <x:v>2010_2019</x:v>
      </x:c>
      <x:c r="D28" s="4" t="str">
        <x:v>yes</x:v>
      </x:c>
      <x:c r="E28" s="4" t="str">
        <x:v>MED:25873660</x:v>
      </x:c>
      <x:c r="F28" s="4" t="str">
        <x:v>10.1093/jxb/erv127</x:v>
      </x:c>
      <x:c r="G28" s="4" t="str">
        <x:v>A genetic relationship between nitrogen use efficiency and seedling root traits in maize as revealed by QTL analysis.</x:v>
      </x:c>
      <x:c r="H28" s="4" t="str">
        <x:v>That root system architecture (RSA) has an essential role in nitrogen acquisition is expected in maize, but the genetic relationship between RSA and nitrogen use efficiency (NUE) traits remains to be elucidated. Here, the genetic basis of RSA and NUE traits was investigated in maize using a recombination inbred line population that was derived from two lines contrasted for both traits. Under high-nitrogen and low-nitrogen conditions, 10 NUE- and 9 RSA-related traits were evaluated in four field environments and three hydroponic experiments, respectively. In contrast to nitrogen utilization efficiency (NutE), nitrogen uptake efficiency (NupE) had significant phenotypic correlations with RSA, particularly the traits of seminal roots (r = 0.15-0.31) and crown roots (r = 0.15-0.18). A total of 331 quantitative trait loci (QTLs) were detected, including 184 and 147 QTLs for NUE- and RSA-related traits, respectively. These QTLs were assigned into 64 distinct QTL clusters, and ~70% of QTLs for nitrogen-efficiency (NUE, NupE, and NutE) coincided in clusters with those for RSA. Five important QTLs clusters at the chromosomal regions bin1.04, 2.04, 3.04, 3.05/3.06, and 6.07/6.08 were found in which QTLs for both traits had favourable effects from alleles coming from the large-rooted and high-NupE parent. Introgression of these QTL clusters in the advanced backcross-derived lines conferred mean increases in grain yield of ~14.8% for the line per se and ~15.9% in the testcross. These results reveal a significant genetic relationship between RSA and NUE traits, and uncover the most promising genomic regions for marker-assisted selection of RSA to improve NUE in maize.</x:v>
      </x:c>
      <x:c r="I28" s="4" t="str">
        <x:v>25873660</x:v>
      </x:c>
      <x:c r="J28" s="4" t="str">
        <x:v>2015</x:v>
      </x:c>
      <x:c r="K28" s="4" t="str">
        <x:v>MED</x:v>
      </x:c>
      <x:c r="L28" s="4" t="str">
        <x:v>25873660</x:v>
      </x:c>
      <x:c r="M28" s="4" t="str">
        <x:v>2026-10-27</x:v>
      </x:c>
      <x:c r="N28" s="4" t="str"/>
      <x:c r="O28" s="4" t="str"/>
      <x:c r="P28" s="4" t="str"/>
      <x:c r="Q28" s="4" t="str"/>
      <x:c r="R28" s="4" t="str"/>
      <x:c r="S28" s="4" t="str"/>
      <x:c r="T28" s="4" t="str"/>
      <x:c r="U28" s="4" t="str"/>
    </x:row>
    <x:row r="29" ht="310" customHeight="1">
      <x:c r="A29" s="4" t="str">
        <x:v>S0190</x:v>
      </x:c>
      <x:c r="B29" s="4" t="str">
        <x:v>title_maize_with_gene_terms</x:v>
      </x:c>
      <x:c r="C29" s="4" t="str">
        <x:v>2000_2009</x:v>
      </x:c>
      <x:c r="D29" s="4" t="str">
        <x:v>yes</x:v>
      </x:c>
      <x:c r="E29" s="4" t="str">
        <x:v>PAT:WO0001721</x:v>
      </x:c>
      <x:c r="F29" s="4" t="str"/>
      <x:c r="G29" s="4" t="str">
        <x:v>METHODS AND COMPOSITIONS TO ENHANCE DISEASE RESISTANCE IN PLANTS BY EXPRESSION OF MLO3 FROM MAIZE</x:v>
      </x:c>
      <x:c r="H29" s="4" t="str">
        <x:v>Compositions and methods for enhancing disease resistance in plants are provided. The method involves modulating the activity of the Mlo3 sequences in the plant. Mlo3 sequences are provided that can be manipulated to enhance pathogen resistance in modified plants. Transformed plants, plant cells, tissues, and seed are also provided having enhanced disease resistance.</x:v>
      </x:c>
      <x:c r="I29" s="4" t="str"/>
      <x:c r="J29" s="4" t="str">
        <x:v>2000</x:v>
      </x:c>
      <x:c r="K29" s="4" t="str">
        <x:v>PAT</x:v>
      </x:c>
      <x:c r="L29" s="4" t="str">
        <x:v>WO0001721</x:v>
      </x:c>
      <x:c r="M29" s="4" t="str">
        <x:v>2026-10-27</x:v>
      </x:c>
      <x:c r="N29" s="4" t="str"/>
      <x:c r="O29" s="4" t="str"/>
      <x:c r="P29" s="4" t="str"/>
      <x:c r="Q29" s="4" t="str"/>
      <x:c r="R29" s="4" t="str"/>
      <x:c r="S29" s="4" t="str"/>
      <x:c r="T29" s="4" t="str"/>
      <x:c r="U29" s="4" t="str"/>
    </x:row>
    <x:row r="30" ht="310" customHeight="1">
      <x:c r="A30" s="4" t="str">
        <x:v>S0141</x:v>
      </x:c>
      <x:c r="B30" s="4" t="str">
        <x:v>no_explicit_maize_with_gene_terms</x:v>
      </x:c>
      <x:c r="C30" s="4" t="str">
        <x:v>2000_2009</x:v>
      </x:c>
      <x:c r="D30" s="4" t="str">
        <x:v>yes</x:v>
      </x:c>
      <x:c r="E30" s="4" t="str">
        <x:v>MED:10642557</x:v>
      </x:c>
      <x:c r="F30" s="4" t="str">
        <x:v>10.1095/biolreprod62.2.227</x:v>
      </x:c>
      <x:c r="G30" s="4" t="str">
        <x:v>Effects of diets containing gossypol on reproductive capacity of rainbow trout (Oncorhynchus mykiss).</x:v>
      </x:c>
      <x:c r="H30" s="4" t="str">
        <x:v>We evaluated five practical diets in which 0%, 25%, 50%, 75%, and 100% (dietary treatments 1-5) of fish meal protein was replaced by solvent-extracted cottonseed meal protein. Adult rainbow trout (initial average weight 247 +/- 8 g) were fed the diets over a period of 131 days during which a general 2-fold body weight increase occurred. The total diet gossypol concentration (free and protein-bound) showed a gradual increase with increased cottonseed meal substitution. Blood samples were collected on Days 0, 64, 112, and 131 for hematological and steroid hormone determination in plasma of males and females. Hemoglobin content was significantly reduced in fish from treatment 5 (7.9 +/- 0.3 g/dl) in comparison to treatments 1-3 (10.3-10.9 g/dl). After 112 and 131 days of feeding, testis weights, concentrations of testosterone, and 11-ketotestosterone were elevated in fish from dietary treatments 2 and 3 in comparison to control and diets 4 and 5. On Day 71, sperm were collected from 6 fish per dietary treatment to assess sperm quality. No significant differences in sperm concentrations (7.2-9.8 x 10(9)/ml), motility (78-89%), and standardized (300 x 10(5) sperm/egg) fertilizing ability (18.9-22.6% hatched embryos) were found. Total gossypol concentrations in blood plasma differed significantly among treatments, and the levels were among the highest ever recorded in animals fed cottonseed-supplemented diets (2.9 +/- 0.2, 11.7 +/- 4.1, 21.7 +/- 1.4, and 29.9 +/- 3.9 microg/ml, for treatments 2-5, respectively). The major portion of gossypol in blood plasma was protein-bound (81-93%). This was in contrast to minute amounts of gossypol present in seminal plasma, mostly in free form (0.02-0.18 microg/ml), which indicates the presence of a barrier between general circulation and the testis with respect to gossypol distribution in lower vertebrates. Thus, the reproductive parameters of male rainbow trout examined in this study were not significantly affected by feeding cottonseed meal for 131 days.</x:v>
      </x:c>
      <x:c r="I30" s="4" t="str">
        <x:v>10642557</x:v>
      </x:c>
      <x:c r="J30" s="4" t="str">
        <x:v>2000</x:v>
      </x:c>
      <x:c r="K30" s="4" t="str">
        <x:v>MED</x:v>
      </x:c>
      <x:c r="L30" s="4" t="str">
        <x:v>10642557</x:v>
      </x:c>
      <x:c r="M30" s="4" t="str">
        <x:v>2026-10-27</x:v>
      </x:c>
      <x:c r="N30" s="4" t="str"/>
      <x:c r="O30" s="4" t="str"/>
      <x:c r="P30" s="4" t="str"/>
      <x:c r="Q30" s="4" t="str"/>
      <x:c r="R30" s="4" t="str"/>
      <x:c r="S30" s="4" t="str"/>
      <x:c r="T30" s="4" t="str"/>
      <x:c r="U30" s="4" t="str"/>
    </x:row>
    <x:row r="31" ht="310" customHeight="1">
      <x:c r="A31" s="4" t="str">
        <x:v>S0471</x:v>
      </x:c>
      <x:c r="B31" s="4" t="str">
        <x:v>abstract_maize_with_gene_terms</x:v>
      </x:c>
      <x:c r="C31" s="4" t="str">
        <x:v>1990_1999</x:v>
      </x:c>
      <x:c r="D31" s="4" t="str">
        <x:v>yes</x:v>
      </x:c>
      <x:c r="E31" s="4" t="str">
        <x:v>MED:10077498</x:v>
      </x:c>
      <x:c r="F31" s="4" t="str">
        <x:v>10.2307/2656757</x:v>
      </x:c>
      <x:c r="G31" s="4" t="str">
        <x:v>Floral development and the formation of unisexual spikelets in the Andropogoneae (Poaceae).</x:v>
      </x:c>
      <x:c r="H31" s="4" t="str">
        <x:v>We investigated spikelet development in four distantly related species of the grass tribe Andropogoneae to determine whether spikelet development and the formation of unisexual florets are uniform throughout the tribe. We studied development in Bothriochloa bladhii, Coelorachis aurita, Heteropogon contortus, and Hyparrhenia hirta, and compared these with Panicum, a member of the sister tribe Paniceae. Many aspects of spikelet development in the species we have studied correlate with what is already known for Tripsacum and maize (both Andropogoneae), despite variation in how unisexual florets are distributed on the plant. The formation of unisexual spikelets is also uniform. All florets initiate both pistil and stamen primordia. In florets destined to be male, cell death occurs in the subepidermal layers of the gynoecium after the formation of a gynoecial ridge. In florets destined to be female, there is no apparent cell death in the stamens, but growth ceases after anther formation. The similarity in spikelet development and the formation of unisexual florets point to a common genetic mechanism for sex determination throughout the Andropogoneae and possibly the entire Panicoideae. Use of a cell death pathway to cause gynoecial abortion may be the basis of one morphological character that defines the subfamily.</x:v>
      </x:c>
      <x:c r="I31" s="4" t="str">
        <x:v>10077498</x:v>
      </x:c>
      <x:c r="J31" s="4" t="str">
        <x:v>1999</x:v>
      </x:c>
      <x:c r="K31" s="4" t="str">
        <x:v>MED</x:v>
      </x:c>
      <x:c r="L31" s="4" t="str">
        <x:v>10077498</x:v>
      </x:c>
      <x:c r="M31" s="4" t="str">
        <x:v>2026-10-27</x:v>
      </x:c>
      <x:c r="N31" s="4" t="str"/>
      <x:c r="O31" s="4" t="str"/>
      <x:c r="P31" s="4" t="str"/>
      <x:c r="Q31" s="4" t="str"/>
      <x:c r="R31" s="4" t="str"/>
      <x:c r="S31" s="4" t="str"/>
      <x:c r="T31" s="4" t="str"/>
      <x:c r="U31" s="4" t="str"/>
    </x:row>
    <x:row r="32" ht="310" customHeight="1">
      <x:c r="A32" s="4" t="str">
        <x:v>S0151</x:v>
      </x:c>
      <x:c r="B32" s="4" t="str">
        <x:v>title_maize_with_gene_terms</x:v>
      </x:c>
      <x:c r="C32" s="4" t="str">
        <x:v>2020_plus</x:v>
      </x:c>
      <x:c r="D32" s="4" t="str">
        <x:v>yes</x:v>
      </x:c>
      <x:c r="E32" s="4" t="str">
        <x:v>MED:33206180</x:v>
      </x:c>
      <x:c r="F32" s="4" t="str">
        <x:v>10.1093/jxb/eraa544</x:v>
      </x:c>
      <x:c r="G32" s="4" t="str">
        <x:v>Maize transcription factor ZmBES1/BZR1-5 positively regulates kernel size.</x:v>
      </x:c>
      <x:c r="H32" s="4" t="str">
        <x:v>The BES1/BZR1 transcription factors regulate the expression of genes responsive to brassinosteroids and play pivotal roles in plant development, but their role in regulating kernel development in maize remains unclear. In this study, we found that ZmBES1/BZR1-5 positively regulates kernel size. Association analysis of candidate genes in 513 diverse maize inbred lines indicated that three SNPs related to ZmBES1/BZR1-5 were significantly associated with kernel width and whilst four SNPs were related to 100-kernel weight. Overexpression of ZmBES1/BZR1-5 in Arabidopsis and rice both significantly increased seed size and weight, and smaller kernels were produced in maize Mu transposon insertion and EMS mutants. The ZmBES1/BZR1-5 protein locates in the nucleus, contains bHLH and BAM domains, and shows no transcriptional activity as a monomer but forms a homodimer through the BAM domain. ChIP-sequencing analysis, and yeast one-hybrid and dual-luciferase assays demonstrated that the protein binds to the promoters of AP2/EREBP genes (Zm00001d010676 and Zm00001d032077) and inhibits their transcription. cDNA library screening showed that ZmBES1/BZR1-5 interacts with casein kinase II subunit β4 (ZmCKIIβ4) and ferredoxin 2 (ZmFdx2) in vitro and in vivo, respectively. Taken together, our study suggests that ZmBES1/BZR1-5 positively regulates kernel size, and provides new insights into understanding the mechanisms of kernel development in maize.</x:v>
      </x:c>
      <x:c r="I32" s="4" t="str">
        <x:v>33206180</x:v>
      </x:c>
      <x:c r="J32" s="4" t="str">
        <x:v>2021</x:v>
      </x:c>
      <x:c r="K32" s="4" t="str">
        <x:v>MED</x:v>
      </x:c>
      <x:c r="L32" s="4" t="str">
        <x:v>33206180</x:v>
      </x:c>
      <x:c r="M32" s="4" t="str">
        <x:v>2026-10-27</x:v>
      </x:c>
      <x:c r="N32" s="4" t="str"/>
      <x:c r="O32" s="4" t="str"/>
      <x:c r="P32" s="4" t="str"/>
      <x:c r="Q32" s="4" t="str"/>
      <x:c r="R32" s="4" t="str"/>
      <x:c r="S32" s="4" t="str"/>
      <x:c r="T32" s="4" t="str"/>
      <x:c r="U32" s="4" t="str"/>
    </x:row>
    <x:row r="33" ht="310" customHeight="1">
      <x:c r="A33" s="4" t="str">
        <x:v>S0450</x:v>
      </x:c>
      <x:c r="B33" s="4" t="str">
        <x:v>title_maize_with_gene_terms</x:v>
      </x:c>
      <x:c r="C33" s="4" t="str">
        <x:v>2010_2019</x:v>
      </x:c>
      <x:c r="D33" s="4" t="str">
        <x:v>yes</x:v>
      </x:c>
      <x:c r="E33" s="4" t="str">
        <x:v>MED:31169939</x:v>
      </x:c>
      <x:c r="F33" s="4" t="str">
        <x:v>10.1111/tpj.14432</x:v>
      </x:c>
      <x:c r="G33" s="4" t="str">
        <x:v>An allele of ZmPORB2 encoding a protochlorophyllide oxidoreductase promotes tocopherol accumulation in both leaves and kernels of maize.</x:v>
      </x:c>
      <x:c r="H33" s="4" t="str">
        <x:v>Phytol is one of the key precursors for tocopherol synthesis in plants, however, the underlying mechanisms concerning the accumulation of tocopherol remain poorly understood. In this study, qVE5, a major QTL affecting tocopherol accumulation in maize kernels was identified via a positional cloning approach. qVE5 encodes a protochlorophyllide oxidoreductase (ZmPORB2), which localizes to the chloroplast. Overexpression of ZmPORB2 increased tocopherol content in both leaves and kernels. Candidate gene association analysis identified a 5/8-bp insertion/deletion (InDel058) in the 5' untranslated region (UTR) as the causal polymorphism in affecting ZmPORB2 expression and being highly associated with tocopherol content. We showed that higher expression of ZmPORB2 correlated with more chlorophyll metabolites in the leaf following pollination. RNA-sequencing and metabolic analysis in near isogenic lines (NILs) support that ZmPORB2 participates in chlorophyll metabolism enabling the production of phytol, an important precursor of tocopherol. We also found that the tocopherol content in the kernel is mainly determined by the maternal genotype, a fact that was further confirmed by in vitro culture experiments. Finally, a PCR-based marker based on Indel058 was developed in order to facilitate the high tocopherol (vitamin E) maize breeding.</x:v>
      </x:c>
      <x:c r="I33" s="4" t="str">
        <x:v>31169939</x:v>
      </x:c>
      <x:c r="J33" s="4" t="str">
        <x:v>2019</x:v>
      </x:c>
      <x:c r="K33" s="4" t="str">
        <x:v>MED</x:v>
      </x:c>
      <x:c r="L33" s="4" t="str">
        <x:v>31169939</x:v>
      </x:c>
      <x:c r="M33" s="4" t="str">
        <x:v>2026-10-27</x:v>
      </x:c>
      <x:c r="N33" s="4" t="str"/>
      <x:c r="O33" s="4" t="str"/>
      <x:c r="P33" s="4" t="str"/>
      <x:c r="Q33" s="4" t="str"/>
      <x:c r="R33" s="4" t="str"/>
      <x:c r="S33" s="4" t="str"/>
      <x:c r="T33" s="4" t="str"/>
      <x:c r="U33" s="4" t="str"/>
    </x:row>
    <x:row r="34" ht="310" customHeight="1">
      <x:c r="A34" s="4" t="str">
        <x:v>S0343</x:v>
      </x:c>
      <x:c r="B34" s="4" t="str">
        <x:v>title_maize_with_gene_terms</x:v>
      </x:c>
      <x:c r="C34" s="4" t="str">
        <x:v>before_1990</x:v>
      </x:c>
      <x:c r="D34" s="4" t="str">
        <x:v>yes</x:v>
      </x:c>
      <x:c r="E34" s="4" t="str">
        <x:v>MED:2751305</x:v>
      </x:c>
      <x:c r="F34" s="4" t="str">
        <x:v>10.1016/0003-9861(89)90221-x</x:v>
      </x:c>
      <x:c r="G34" s="4" t="str">
        <x:v>Recombinant anaerobic maize aldolase: overexpression, characterization, and metabolic implications.</x:v>
      </x:c>
      <x:c r="H34" s="4" t="str">
        <x:v>Complementary DNA sequence of anaerobically induced cytoplasmic maize aldolase was expressed under control of the tac promoter sequence in Escherichia coli using the pKK223-3 plasmid as a vehicle. Levels of recombinant protein expressed exceeded 20 mg of soluble aldolase per liter of culture. The purified recombinant enzyme displayed the expected molecular weight and tetrameric subunit assembly on the basis of mobilities on denaturing electrophoretic gels and gel filtration, respectively. Sequencing of the NH2 terminus and amino acid composition analysis of the recombinant protein including COOH-terminal peptides agreed with the cDNA sequence. Partial kinetic characterization based on product inhibition studies was consistent with the ordered uni-bi reaction mechanism expected of aldolases. Turnover with respect to substrates Fru-1,6-P2 and Fru-1-P by the recombinant enzyme is the highest reported to date for class I aldolases. Fru-1,6-P2 cleavage rate by recombinant cytoplasmic maize enzyme is three times greater than that of the chloroplast enzyme. Fru-1-P cleavage is 8-fold greater than that of the rabbit liver isozyme and 20-fold greater than that of the rabbit muscle isozyme to which maize aldolase exhibits the greatest homology. The implications of such a high Fru-1-P turnover on carbohydrate utilization under anaerobiosis is discussed.</x:v>
      </x:c>
      <x:c r="I34" s="4" t="str">
        <x:v>2751305</x:v>
      </x:c>
      <x:c r="J34" s="4" t="str">
        <x:v>1989</x:v>
      </x:c>
      <x:c r="K34" s="4" t="str">
        <x:v>MED</x:v>
      </x:c>
      <x:c r="L34" s="4" t="str">
        <x:v>2751305</x:v>
      </x:c>
      <x:c r="M34" s="4" t="str">
        <x:v>2026-10-27</x:v>
      </x:c>
      <x:c r="N34" s="4" t="str"/>
      <x:c r="O34" s="4" t="str"/>
      <x:c r="P34" s="4" t="str"/>
      <x:c r="Q34" s="4" t="str"/>
      <x:c r="R34" s="4" t="str"/>
      <x:c r="S34" s="4" t="str"/>
      <x:c r="T34" s="4" t="str"/>
      <x:c r="U34" s="4" t="str"/>
    </x:row>
    <x:row r="35" ht="310" customHeight="1">
      <x:c r="A35" s="4" t="str">
        <x:v>S0392</x:v>
      </x:c>
      <x:c r="B35" s="4" t="str">
        <x:v>title_maize_with_gene_terms</x:v>
      </x:c>
      <x:c r="C35" s="4" t="str">
        <x:v>2000_2009</x:v>
      </x:c>
      <x:c r="D35" s="4" t="str">
        <x:v>yes</x:v>
      </x:c>
      <x:c r="E35" s="4" t="str">
        <x:v>MED:17208960</x:v>
      </x:c>
      <x:c r="F35" s="4" t="str">
        <x:v>10.1104/pp.106.091454</x:v>
      </x:c>
      <x:c r="G35" s="4" t="str">
        <x:v>Abscisic acid and stress signals induce Viviparous1 expression in seed and vegetative tissues of maize.</x:v>
      </x:c>
      <x:c r="H35" s="4" t="str">
        <x:v>Viviparous1 (Vp1) encodes a B3 domain-containing transcription factor that is a key regulator of seed maturation in maize (Zea mays). However, the mechanisms of Vp1 regulation are not well understood. To examine physiological factors that may regulate Vp1 expression, transcript levels were monitored in maturing embryos placed in culture under different conditions. Expression of Vp1 decreased after culture in hormone-free medium, but was induced by salinity or osmotic stress. Application of exogenous abscisic acid (ABA) also induced transcript levels within 1 h in a dose-dependent manner. The Vp1 promoter fused to beta-glucuronidase or green fluorescent protein reproduced the endogenous Vp1 expression patterns in transgenic maize plants and also revealed previously unknown expression domains of Vp1. The Vp1 promoter is active in the embryo and aleurone cells of developing seeds and, upon drought stress, was also found in phloem cells of vegetative tissues, including cobs, leaves, and stems. Sequence analysis of the Vp1 promoter identified a potential ABA-responsive complex, consisting of an ACGT-containing ABA response element (ABRE) and a coupling element 1-like motif. Electrophoretic mobility shift assay confirmed that the ABRE and putative coupling element 1 components specifically bound proteins in embryo nuclear protein extracts. Treatment of embryos in hormone-free Murashige and Skoog medium blocked the ABRE-protein interaction, whereas exogenous ABA or mannitol treatment restored this interaction. Our data support a model for a VP1-dependent positive feedback mechanism regulating Vp1 expression during seed maturation.</x:v>
      </x:c>
      <x:c r="I35" s="4" t="str">
        <x:v>17208960</x:v>
      </x:c>
      <x:c r="J35" s="4" t="str">
        <x:v>2007</x:v>
      </x:c>
      <x:c r="K35" s="4" t="str">
        <x:v>MED</x:v>
      </x:c>
      <x:c r="L35" s="4" t="str">
        <x:v>17208960</x:v>
      </x:c>
      <x:c r="M35" s="4" t="str">
        <x:v>2026-10-27</x:v>
      </x:c>
      <x:c r="N35" s="4" t="str"/>
      <x:c r="O35" s="4" t="str"/>
      <x:c r="P35" s="4" t="str"/>
      <x:c r="Q35" s="4" t="str"/>
      <x:c r="R35" s="4" t="str"/>
      <x:c r="S35" s="4" t="str"/>
      <x:c r="T35" s="4" t="str"/>
      <x:c r="U35" s="4" t="str"/>
    </x:row>
    <x:row r="36" ht="310" customHeight="1">
      <x:c r="A36" s="4" t="str">
        <x:v>S0441</x:v>
      </x:c>
      <x:c r="B36" s="4" t="str">
        <x:v>title_maize_with_gene_terms</x:v>
      </x:c>
      <x:c r="C36" s="4" t="str">
        <x:v>1990_1999</x:v>
      </x:c>
      <x:c r="D36" s="4" t="str">
        <x:v>yes</x:v>
      </x:c>
      <x:c r="E36" s="4" t="str">
        <x:v>MED:16668065</x:v>
      </x:c>
      <x:c r="F36" s="4" t="str">
        <x:v>10.1104/pp.95.3.861</x:v>
      </x:c>
      <x:c r="G36" s="4" t="str">
        <x:v>T-URF 13 Protein from Mitochondria of Texas Male-Sterile Maize (Zea mays L.) : Its Purification and Submitochondrial Localization, and Immunogold Labeling in Anther Tapetum during Microsporogenesis.</x:v>
      </x:c>
      <x:c r="H36" s="4" t="str">
        <x:v>The protein T-URF13 (URF13) is specific to mitochondria of maize (Zea mays L.) with Texas (T) male-sterile cytoplasm and has been implicated in causing male sterility and susceptibility to T-cytoplasm-specific fungal diseases. T-URF13 was purified from isolated mitochondria from maize (line B73) with T cytoplasm by gel filtration and a quasi two-dimensional polyacrylamide gel electrophoresis system. Antibodies to the purified and denatured protein were produced in rabbits. Anti-T-URF13 antiserum was used to show that T-URF13 is in the inner membrane of mitochondria and behaves as an integral membrane protein when mitochondria are fractionated with sodium carbonate or Triton X-114. The antiserum and protein A tagged with 20-nanometer-gold particles were used to localize T-URF13 in T mitochondria by electron microscopy of sections of isolated mitochondria from etiolated shoots and sections of roots and of tapetal cells at pre-and post-degeneration stages of microsporogenesis. The microscopic study confirms that T-URF13 is specifically localized in the mitochondrial membranes of all of the T mitochondria tested, notably those in the tapetum from the meiocyte stage to the late-microspore stage. No change in the amount of labeled T-URF13 protein in the mitochondria of aging tapetal cells was detected.</x:v>
      </x:c>
      <x:c r="I36" s="4" t="str">
        <x:v>16668065</x:v>
      </x:c>
      <x:c r="J36" s="4" t="str">
        <x:v>1991</x:v>
      </x:c>
      <x:c r="K36" s="4" t="str">
        <x:v>MED</x:v>
      </x:c>
      <x:c r="L36" s="4" t="str">
        <x:v>16668065</x:v>
      </x:c>
      <x:c r="M36" s="4" t="str">
        <x:v>2026-10-27</x:v>
      </x:c>
      <x:c r="N36" s="4" t="str"/>
      <x:c r="O36" s="4" t="str"/>
      <x:c r="P36" s="4" t="str"/>
      <x:c r="Q36" s="4" t="str"/>
      <x:c r="R36" s="4" t="str"/>
      <x:c r="S36" s="4" t="str"/>
      <x:c r="T36" s="4" t="str"/>
      <x:c r="U36" s="4" t="str"/>
    </x:row>
    <x:row r="37" ht="310" customHeight="1">
      <x:c r="A37" s="4" t="str">
        <x:v>S0474</x:v>
      </x:c>
      <x:c r="B37" s="4" t="str">
        <x:v>title_maize_without_gene_terms</x:v>
      </x:c>
      <x:c r="C37" s="4" t="str">
        <x:v>before_1990</x:v>
      </x:c>
      <x:c r="D37" s="4" t="str">
        <x:v>yes</x:v>
      </x:c>
      <x:c r="E37" s="4" t="str">
        <x:v>MED:395948</x:v>
      </x:c>
      <x:c r="F37" s="4" t="str">
        <x:v>10.1007/bf00504355</x:v>
      </x:c>
      <x:c r="G37" s="4" t="str">
        <x:v>Mutational study of the alcohol dehydrogenase-1 FCm duplication in maize.</x:v>
      </x:c>
      <x:c r="H37" s="4" t="str">
        <x:v>The alcohol dehydrogenase-1 FCm (Adh-FCm) duplication in maize was subjected to ethyl methanesulfonate (EMS) mutagenesis. Of the mutants recovered, eight produced ADH polypeptides with altered electrophoretic mobility. Four produced new mobilities of the progenitor F with no change of the Cm molecule; the remainder altered only the Cm enzyme. No cases were found in which the electrophoretic mobilities of the two types of subunits were simultaneously altered, and no complete nulls lacking both F and Cm were recovered. These observations confirm the duplicate nature of the FCm complex.</x:v>
      </x:c>
      <x:c r="I37" s="4" t="str">
        <x:v>395948</x:v>
      </x:c>
      <x:c r="J37" s="4" t="str">
        <x:v>1979</x:v>
      </x:c>
      <x:c r="K37" s="4" t="str">
        <x:v>MED</x:v>
      </x:c>
      <x:c r="L37" s="4" t="str">
        <x:v>395948</x:v>
      </x:c>
      <x:c r="M37" s="4" t="str">
        <x:v>2026-10-27</x:v>
      </x:c>
      <x:c r="N37" s="4" t="str"/>
      <x:c r="O37" s="4" t="str"/>
      <x:c r="P37" s="4" t="str"/>
      <x:c r="Q37" s="4" t="str"/>
      <x:c r="R37" s="4" t="str"/>
      <x:c r="S37" s="4" t="str"/>
      <x:c r="T37" s="4" t="str"/>
      <x:c r="U37" s="4" t="str"/>
    </x:row>
  </x:sheetData>
  <x:pageMargins left="0.7" right="0.7" top="0.75" bottom="0.75" header="0.3" footer="0.3"/>
  <x:tableParts count="1">
    <x:tablePart xmlns:r="http://schemas.openxmlformats.org/officeDocument/2006/relationships" r:id="R9773d5c4779e4466"/>
  </x:tableParts>
</x:worksheet>
</file>