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yq\maizeGene\maize_literature\02_抽样与复核\02_当前复核工作簿\"/>
    </mc:Choice>
  </mc:AlternateContent>
  <bookViews>
    <workbookView windowWidth="21550" windowHeight="10080" activeTab="2"/>
  </bookViews>
  <sheets>
    <sheet name="说明与汇总" sheetId="1" r:id="rId1"/>
    <sheet name="人工复核" sheetId="2" r:id="rId2"/>
    <sheet name="自动对照" sheetId="3" r:id="rId3"/>
    <sheet name="英文原文"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<sst xmlns="http://schemas.openxmlformats.org/spreadsheetml/2006/main" count="549" uniqueCount="256">
  <si>
    <t>玉米功能文献筛选规则 v1：20篇小批测试（中文翻译版）</t>
  </si>
  <si>
    <t>先在“人工复核”页阅读中文题名和中文摘要并填写人工标签；英文原文保留在“英文原文”页，完成后再打开“自动对照”页比较。</t>
  </si>
  <si>
    <t>批次信息</t>
  </si>
  <si>
    <t>数量</t>
  </si>
  <si>
    <t>操作顺序</t>
  </si>
  <si>
    <t>总记录</t>
  </si>
  <si>
    <t>1</t>
  </si>
  <si>
    <t>打开“人工复核”页。</t>
  </si>
  <si>
    <t>固定随机盲测</t>
  </si>
  <si>
    <t>2</t>
  </si>
  <si>
    <t>只读题名和摘要，在F列选择A/B/C/D/E/R/X/U。</t>
  </si>
  <si>
    <t>边界挑战</t>
  </si>
  <si>
    <t>3</t>
  </si>
  <si>
    <t>不确定时填U，并在G列写明缺什么信息。</t>
  </si>
  <si>
    <t>已填人工标签</t>
  </si>
  <si>
    <t>4</t>
  </si>
  <si>
    <t>全部填完后，再打开“自动对照”页查看旧标签与v1建议。</t>
  </si>
  <si>
    <t>待填写</t>
  </si>
  <si>
    <t>5</t>
  </si>
  <si>
    <t>发现不一致时，以证据边界讨论为主，不计算模型准确率。</t>
  </si>
  <si>
    <t>标签</t>
  </si>
  <si>
    <t>本批使用含义</t>
  </si>
  <si>
    <t>旧电脑预标</t>
  </si>
  <si>
    <t>v1自动建议</t>
  </si>
  <si>
    <t>人工确认</t>
  </si>
  <si>
    <t>A</t>
  </si>
  <si>
    <t>基因/蛋白层直接实验</t>
  </si>
  <si>
    <t>B</t>
  </si>
  <si>
    <t>可识别基因/等位基因与表型关系</t>
  </si>
  <si>
    <t>C</t>
  </si>
  <si>
    <t>QTL、GWAS、表达或群体关联</t>
  </si>
  <si>
    <t>D</t>
  </si>
  <si>
    <t>序列、同源、系统发育或功能模型</t>
  </si>
  <si>
    <t>E</t>
  </si>
  <si>
    <t>玉米基因功能相关数据资源</t>
  </si>
  <si>
    <t>R</t>
  </si>
  <si>
    <t>可追溯原始研究的相关综述</t>
  </si>
  <si>
    <t>X</t>
  </si>
  <si>
    <t>不入当前内源基因功能核心库</t>
  </si>
  <si>
    <t>U</t>
  </si>
  <si>
    <t>信息不足，保留具体待核缺口</t>
  </si>
  <si>
    <t>抽样说明</t>
  </si>
  <si>
    <t>固定随机种子20261028</t>
  </si>
  <si>
    <t>排除已复核36篇</t>
  </si>
  <si>
    <t>随机盲测12篇</t>
  </si>
  <si>
    <t>边界挑战8篇</t>
  </si>
  <si>
    <t>来源：screening_sample_500_prelabelled.csv</t>
  </si>
  <si>
    <t>限制</t>
  </si>
  <si>
    <t>AI逐篇复核建议不是独立人工真值</t>
  </si>
  <si>
    <t>请先完成人工复核</t>
  </si>
  <si>
    <t>完成后再判断规则是否需要调整</t>
  </si>
  <si>
    <t>20篇小批测试：人工复核（中文翻译版）</t>
  </si>
  <si>
    <t>题名和摘要已翻译为中文；英文原文保留在“英文原文”页。请在F列选择标签，不确定时选择U并在G列写明缺口。</t>
  </si>
  <si>
    <t>测试ID</t>
  </si>
  <si>
    <t>批次类型</t>
  </si>
  <si>
    <t>样本ID</t>
  </si>
  <si>
    <t>中文题名</t>
  </si>
  <si>
    <t>中文摘要</t>
  </si>
  <si>
    <t>人工确认标签</t>
  </si>
  <si>
    <t>人工意见/待核缺口</t>
  </si>
  <si>
    <t>来源</t>
  </si>
  <si>
    <t>年份</t>
  </si>
  <si>
    <t>来源记录键</t>
  </si>
  <si>
    <t>T01</t>
  </si>
  <si>
    <t>随机盲测</t>
  </si>
  <si>
    <t>S0295</t>
  </si>
  <si>
    <t>将自维持气浮筛分与常规连续搅拌釜反应器耦合可提高玉米秸秆的厌氧生物降解性</t>
  </si>
  <si>
    <t>木质纤维素作物废弃物的厌氧生物降解性可通过适当预处理得到改善，但关于利用反应器构型提高秸秆消化性的资料很少。本研究通过实验室批次试验建立了一种新型反应器，以检验将自维持气浮筛分（SAFS）单元与常规连续搅拌釜反应器（CSTR）耦合能否提高玉米秸秆（CS）的厌氧生物降解性。与运行20天的常规CSTR相比，SAFS-CSTR在16天内使最大甲烷产量提高了14.27%。各项基本指标的时间和空间分布与常规CSTR显著不同。反应器不同位置的细菌多样性升高，细菌群落组成发生明显变化，其中拟杆菌门和变形菌门为优势类群。SAFS单元可有效分离抑制物，同时提高传质效率，因此可为常规CSTR的升级或改造提供参考。</t>
  </si>
  <si>
    <t>MED</t>
  </si>
  <si>
    <t>MED:32335348</t>
  </si>
  <si>
    <t>T02</t>
  </si>
  <si>
    <t>S0207</t>
  </si>
  <si>
    <t>菌根与葡萄藤：应对葡萄种植挑战时两者互作中的已知与未知</t>
  </si>
  <si>
    <t>丛枝菌根真菌（AMF）在葡萄生产体系中发挥重要作用。然而，从育苗阶段到田间，这种关系如何建立，以及土壤管理会如何改变该关系及其带来的益处，目前所知仍然有限。本文综述了从苗圃到田间建立葡萄藤—AMF关系的现有认识、影响共生有效性的主要因素、AMF作为葡萄生产生物刺激剂的潜在作用，以及在当前气候变化背景下的未来应用前景。菌根共生的建立过程十分复杂，植物根系与真菌之间的分子对话仍未得到充分阐明。葡萄苗木生产过程中会在苗圃生根，并可能自发形成共生。菌根共生的有效性似乎不仅取决于真菌种类，还取决于葡萄材料的多样性和土壤管理方式。最后，使用AMF作为生物刺激剂可能是应对新气候情景的有效策略，但仍需进一步研究AMF接种物的应用及本地菌群的保护。</t>
  </si>
  <si>
    <t>MED:40066981</t>
  </si>
  <si>
    <t>T03</t>
  </si>
  <si>
    <t>S0304</t>
  </si>
  <si>
    <t>来源于小麦曲的枯草芽孢杆菌HNGD-Mq02降解黄曲霉毒素B1和M1的机制及其在食品脱毒中的应用</t>
  </si>
  <si>
    <t>黄曲霉毒素B1（AFB1）是食品和饲料中毒性最强且最常见的真菌毒素，其羟基化代谢物黄曲霉毒素M1（AFM1）则常见于乳制品，两者均构成严重健康风险。因此，有效降解这些毒素是食品安全的重要目标。本研究分离了枯草芽孢杆菌HNGD-Mq02，并评估其降解AFB1和AFM1的能力。在最适条件（50 ℃、pH 7）下，发酵液对两者的降解率分别达到94.06%和98.26%。超高效液相色谱—质谱（UHPLC-MS）分析证实，两种真菌毒素均被转化为毒性较低的化合物。斑马鱼试验和Ames试验进一步证实了降解产物的毒性降低。在实际应用中，该菌株使玉米粉中的AFB1降低72.90%，使奶粉中的AFM1降低42.25%。发酵还在一定程度上改善了营养品质。结果表明，枯草芽孢杆菌HNGD-Mq02具有提高食品和饲料安全性及价值的潜力。</t>
  </si>
  <si>
    <t>MED:40890944</t>
  </si>
  <si>
    <t>T04</t>
  </si>
  <si>
    <t>S0259</t>
  </si>
  <si>
    <t>棉籽密度：10个栽培品种相关的物理和化学性质</t>
  </si>
  <si>
    <t>近期研究表明，棉籽（Gossypium hirsutum L.）的萌发和幼苗活力与种子密度的关系，比与大小或重量等其他物理性质的关系更密切。本研究旨在确定同一品种内不同密度种子之间，以及不同品种中相同密度种子之间的物理和化学差异。主要目标是把物理或化学性质与种子密度联系起来，并解释已有研究所报告的种子密度、萌发和幼苗活力之间的相关性。将美国得克萨斯高平原种植的10个棉花品种的种子用气流分选器和逐渐增大的气流速度分为4个密度组。按密度分离种子的结果在一定程度上不受品种影响，而种子重量则高度依赖品种。随着种子密度增加，胚重量占种子总重量的比例在所有品种中由50%升至65%。脂质浓度从最低密度组到第二密度组显著升高，此后基本保持不变。若按单粒种子的含量表示，各种化学成分均显著增加。每个密度组内，不同品种所含物质量均存在显著的品种效应。胚重与种子总重之比表明，种子密度是种子成熟度的良好指标。尽管各种化学成分的浓度仅受轻微影响，但随着种子密度增加，可供萌发幼苗利用的有机和无机物质总量均有所增加。</t>
  </si>
  <si>
    <t>AGR</t>
  </si>
  <si>
    <t>AGR:9916185676607426</t>
  </si>
  <si>
    <t>T05</t>
  </si>
  <si>
    <t>S0426</t>
  </si>
  <si>
    <t>危地马拉西南部多种微量营养素补充与响应性照护干预对支持儿童早期发展的独立及联合效果</t>
  </si>
  <si>
    <t>目标：本研究旨在考察多种微量营养素补充与响应性照护干预对危地马拉西南部儿童早期发展的独立及联合效果。方法/研究人群：研究采用双盲、2×2整群随机对照试验，将微量营养素补充与响应性照护两种干预组合实施。共纳入309名婴儿（6—18月龄）和387名学龄前儿童（36—52月龄），均存在营养风险（年龄别身高Z评分＜−1）；其中51%为男性，17%为原住民，76%的照护者受教育程度不超过小学。补充组连续6个月接受含21种微量营养素强化的玉米—大豆制品；对照组制品仅强化维生素B2。响应性照护干预改编自联合国儿童基金会“儿童发展照护”项目，通过6次家访实施。研究使用《贝利婴幼儿发展量表》第三版和《布莱肯入学准备量表》，考察从基线（2015年）到终点（2017年）的儿童早期发展变化。结果/预期结果：婴儿的年龄标准化贝利认知发展评分在各干预组中均随时间下降。多种微量营养素补充与响应性照护联合组的婴儿贝利运动发展评分显著提高，变化值为3.67（95%置信区间：0.17—7.17，p=0.04）。学龄前儿童的入学准备度在各组中均随时间下降。各干预组之间，婴儿发展和学龄前儿童入学准备度的变化速率没有差异。进一步分析将考察预先设定的儿童和家庭因素是否会修饰干预效果。讨论/意义：联合实施多种微量营养素补充和响应性照护支持了运动发展，但未改善认知和入学准备度。这些结果将为在不利环境中促进儿童早期发展的多部门干预之有效性及受益人群提供依据。</t>
  </si>
  <si>
    <t>PMC</t>
  </si>
  <si>
    <t>PMC:PMC9209285</t>
  </si>
  <si>
    <t>T06</t>
  </si>
  <si>
    <t>S0097</t>
  </si>
  <si>
    <t>金鱼草转座元件Tam3的结构分析显示其与玉米Ac元件具有同源性</t>
  </si>
  <si>
    <t>原记录未提供摘要。</t>
  </si>
  <si>
    <t>从题目上看可能存在玉米同源基因证据，缺少摘要，需要补齐</t>
  </si>
  <si>
    <t>MED:1654157</t>
  </si>
  <si>
    <t>T07</t>
  </si>
  <si>
    <t>S0434</t>
  </si>
  <si>
    <t>油气工业压裂液用高分子凝胶的化学与物理结构：现状、挑战与前景</t>
  </si>
  <si>
    <t>水力压裂对于从油气储层中开采烃类至关重要，其过程是把流体以高压注入储层岩石。压裂液的重要组成之一是加入在储层条件下形成凝胶或凝胶状体系的聚合物。聚合物可用作增黏剂和减阻剂，并在压裂液中充当携带支撑剂的介质。现有压裂液体系中有许多以高分子为基础。过去一至二十年间，天然和人工合成的线性聚合物，以及应用程度较低的合成超支化聚合物，被用作压裂液添加剂，在提高压裂液于多种苛刻储层条件下的稳定性方面显示出良好前景。现代创新表明，开发新的化学结构和性质对于改善性能十分重要。主要挑战包括在储层条件下维持黏度以及获得适当的剪切变稀行为。高分子的物理结构和新型交联过程是应对这些问题的关键。高分子相互作用在储层条件下的影响，对获得高效流体性能和成功实施压裂作业非常重要。未来，持续研究有望产生专门设计的高分子解决方案，以提高油气应用的效率和可持续性。</t>
  </si>
  <si>
    <t>MED:38786255</t>
  </si>
  <si>
    <t>T08</t>
  </si>
  <si>
    <t>S0374</t>
  </si>
  <si>
    <t>马铃薯育种新前沿：调控生殖基因与无融合生殖</t>
  </si>
  <si>
    <t>PMC:PMC11202281</t>
  </si>
  <si>
    <t>T09</t>
  </si>
  <si>
    <t>S0438</t>
  </si>
  <si>
    <t>玉米饲料及木聚糖酶对肉鸡淀粉消化的影响</t>
  </si>
  <si>
    <t>玉米是全球家禽饲料中使用最广泛的谷物。了解肉鸡如何以及在消化道何处消化天然淀粉——玉米中的主要能量成分——以及外源木聚糖酶如何影响这一过程，对于优化日粮养分利用十分重要。本项目采用体外和体内模型，研究肉鸡对不同玉米基础日粮中淀粉的消化，包括天然玉米淀粉、玉米粗粉以及添加或不添加木聚糖酶的玉米—大豆日粮；木聚糖酶为Econase XT 25，添加量100 g/t，活性18,100 BXU/kg。研究建立了一个模拟肉鸡消化道的体外模型，采用球磨技术模拟鸡胗，以考察不同日粮的淀粉消化差异。与滚筒混合样品相比，样品在盐酸—胃蛋白酶体系中球磨后，淀粉结晶度和颗粒大小均降低；这些样品随后与胰酶孵育时释放更多葡萄糖。玉米—大豆日粮在胰酶作用下释放的葡萄糖最多，而天然玉米淀粉最少，说明消化前对日粮的加工以及周围食物基质都会产生影响。［原始数据中的摘要在此处截断。］</t>
  </si>
  <si>
    <t>ETH</t>
  </si>
  <si>
    <t>ETH:689988</t>
  </si>
  <si>
    <t>T10</t>
  </si>
  <si>
    <t>S0200</t>
  </si>
  <si>
    <t>缺钙条件下玉米幼苗叶片的脂质过氧化损伤</t>
  </si>
  <si>
    <t>玉米幼苗采用水培方式培养至第4片叶展开，随后每隔4天将部分幼苗转入无钙培养液，直至第8叶期。在八叶期玉米幼苗中，研究了膜系统脂质过氧化损伤与叶肉细胞超微结构变化之间的关系。缺钙早期，叶肉细胞维持较高的超氧化物歧化酶活性和较低的脂质过氧化水平。随着缺钙进程发展，超氧化物歧化酶活性下降，尤以铜/锌超氧化物歧化酶（Cu,Zn-SOD）活性下降最为明显；丙二醛（MDA）含量和膜通透性升高，细胞器受到严重破坏，甚至整个细胞结构被毁。叶肉细胞的超微结构损伤首先出现在叶绿体，随后依次涉及线粒体、质膜、核膜和内质网膜。缺钙条件下膜系统的破坏表明脂质过氧化作用增强。</t>
  </si>
  <si>
    <t>未发现基因相关研究，但是环境因素可能影响玉米，需看全文确认，可以作为辅助信息</t>
  </si>
  <si>
    <t>CBA</t>
  </si>
  <si>
    <t>CBA:302012</t>
  </si>
  <si>
    <t>T11</t>
  </si>
  <si>
    <t>S0394</t>
  </si>
  <si>
    <t>SARS-CoV-2的最近缘病毒RaTG13来自蝙蝠转录组而非粪便拭子：对COVID-19起源的意义</t>
  </si>
  <si>
    <t>RaTG13在系统发育上是与SARS-CoV-2关系最近的冠状病毒，因此，了解其来源对于理解COVID-19大流行的起源十分重要。RaTG13的下一代测序（NGS）数据集被描述为来源于中菊头蝠（Rhinolophus affinis）的粪便拭子，但序列分析表明这种说法可能不成立。使用Metaxa2进行的宏基因组分析显示，数据集中仅10.3%的小亚基（SSU）rRNA序列来自细菌，这与通常由细菌序列占优势的粪便样本不符。此外，样本中的细菌分类群也与粪便材料不一致。组装数据集中的线粒体SSU rRNA序列得到一条与中菊头蝠线粒体SSU rRNA具有98.7%一致性的重叠群，说明样本来自该物种或其近缘物种。87.5%的NGS读段可比对到大菊头蝠（Rhinolophus ferrumequinum）基因组；这是现有基因组中与中菊头蝠最近的蝙蝠基因组。在已注释的基因组区域中，62.2%的已比对读段落在蛋白编码基因上。作者据此认为，该数据集代表菊头蝠属组织或细胞系的转录组，而非粪便拭子样本，并进一步推断RaTG13在活体培养材料中。文章由此提出疑问：在大流行之前，武汉病毒研究所是否还培养过其他未公开的、与SARS-CoV-2近缘的冠状病毒。文中讨论了这些结果对COVID-19起源问题的意义。</t>
  </si>
  <si>
    <t>PPR</t>
  </si>
  <si>
    <t>PPR:PPR423720</t>
  </si>
  <si>
    <t>T12</t>
  </si>
  <si>
    <t>S0033</t>
  </si>
  <si>
    <t>FAST技术：一种用于拟南芥幼苗及其他植物物种瞬时基因表达分析的简化农杆菌转化方法</t>
  </si>
  <si>
    <t>背景：植物基因组测序发现了大量功能未知的基因。为研究这些未知基因的功能，人们开发了多种瞬时转化体系，作为耗时较长的稳定转基因试验的快速、便捷替代方案。这些瞬时分析方法包括基因枪轰击、原生质体转染和农杆菌介导的瞬时转化；不同方法各有优缺点，适用性取决于研究目的。结果：本文提出一种新的瞬时分析方法，即在表面活性剂存在条件下，将拟南芥幼苗与根癌农杆菌共培养。该方法不需要专用设备，从播种到蛋白分析可在一周内完成。该方法被命名为农杆菌介导幼苗快速转化（FAST），可在不同遗传背景的拟南芥幼苗子叶中成功表达由不同启动子驱动的多种构建体，但不能在根中表达。通过与荧光细胞器标记物共同转化，确定了3种此前未表征蛋白的定位。FAST操作所需的幼苗处理很少，也可用于96孔板。其较高的转化效率使研究者能够通过免疫印迹检测8株转化幼苗中的蛋白。采用荧光共振能量转移和双分子荧光互补技术，还可方便地检测蛋白质—蛋白质相互作用；本文以HY5同源二聚化为例进行了验证。初步试验表明，FAST也适用于其他双子叶和单子叶植物，包括烟草、番茄、水稻和柳枝稷。结论：FAST体系可在完整植株中快速、高效且低成本地分析基因功能，人工操作少且无需专用设备，未来可能非常适合自动化高通量分析。</t>
  </si>
  <si>
    <t>MED:19457242</t>
  </si>
  <si>
    <t>T13</t>
  </si>
  <si>
    <t>S0130</t>
  </si>
  <si>
    <t>中国黄土高原不同植被类型下的土壤水分亏缺与恢复</t>
  </si>
  <si>
    <t>刻画土壤含水量（SWC）的动态变化，是在中国黄土高原开展可持续植被恢复的前提。然而，由于驱动因素不同且地表过程复杂，量化深层土壤含水量变化仍具挑战。本研究在2019—2020年间监测了人工林地（AF）、苹果园（AO）、天然林地（NF）、农田（种植玉米；FL）和天然草地（NG）0—10 m土层的土壤含水量，并使用亏缺量（DS）和恢复指数（RI）探讨植被类型对土壤含水量的影响。结果显示，林地土壤含水量显著低于天然草地的12.32%，且树种显著影响土壤含水量。林地的月度DS值为负，而农田的DS值为正。林地0—10 m范围内的DS值以及10 m以下的预测值均为负，说明植树可能消耗了10 m以下的土壤水分。调查期间，0—1 m土层的RI为正，表明土壤水分得到恢复。此外，人工林地在深层土壤水分恢复方面表现良好。林冠密度是控制土壤水分恢复的因素。结果表明，当前造林方式消耗了更多土壤水分，但有利于深层土壤水分保持。因此，未来选择和管理植被时，应根据当地土壤和水资源状况进行合理调整。</t>
  </si>
  <si>
    <t>PPR:PPR434725</t>
  </si>
  <si>
    <t>T14</t>
  </si>
  <si>
    <t>S0373</t>
  </si>
  <si>
    <t>Opaque2转录因子在玉米种子蛋白质积累和氨基酸代谢调控中的作用</t>
  </si>
  <si>
    <t>需要补齐摘要查证具体等级，从题目判断可以入库</t>
  </si>
  <si>
    <t>MED:7486460</t>
  </si>
  <si>
    <t>T15</t>
  </si>
  <si>
    <t>S0480</t>
  </si>
  <si>
    <t>六倍体小麦共表达网络显示：多倍化后减数分裂基因的同源拷贝表达总体平衡，且未发生显著基因丢失</t>
  </si>
  <si>
    <t>多倍化在植物进化中发挥了重要作用。然而，多倍化发生后，减数分裂过程必须适应增多的染色体数量，以确保染色体正确分离并产生染色体组成平衡的配子。有观点认为，全基因组复制后，减数分裂基因（MG）的重复拷贝会恢复为单拷贝，从而稳定多倍体基因组。因此，小麦是具有3套相关（同源）基因组的六倍体物种，其多倍化后的稳定过程可能涉及同源染色体上减数分裂基因含量和表达的快速变化。为检验该假设，研究结合共表达网络分析和基于直系同源关系的方法，在小麦中鉴定候选减数分裂基因。研究使用来自包括小麦减数分裂期花药在内的多种组织的130个RNA-Seq样本，定义基因共表达模块。3个模块与减数分裂组织样本显著相关，而与其他组织类型不相关。这些模块富集了细胞周期、DNA复制和染色质修饰相关的基因本体（GO）术语，并包含已知减数分裂基因的直系同源基因。总体而言，减数分裂相关模块中74.4%的基因保留了3个同源拷贝，与其他组织相关模块的情况相似。在通过直系同源关系而非共表达鉴定的小麦减数分裂基因中，绝大多数（93.7%）相对于祖先小麦物种而言，要么在六倍体小麦中保持相同拷贝数（78.4%），要么拷贝数增加（15.3%）。此外，与非减数分裂相关模块中的基因相比，减数分裂相关模块中的基因在同源拷贝之间表现出更平衡的表达水平。综上，结果不支持小麦多倍化后减数分裂基因发生广泛丢失或同源拷贝表达发生显著改变。减数分裂基因共表达网络的构建还鉴定出枢纽基因，为后续研究提供了关键候选对象。</t>
  </si>
  <si>
    <t>MED:31681395</t>
  </si>
  <si>
    <t>T16</t>
  </si>
  <si>
    <t>S0378</t>
  </si>
  <si>
    <t>玉米条纹病毒（肯尼亚分离株）基因组的物理结构与遗传组成</t>
  </si>
  <si>
    <t>对从病毒颗粒DNA获得的克隆进行测序后发现，玉米条纹病毒肯尼亚分离株（MSV-K）的基因组由一个约2.6 kb的主要DNA组分构成。MSV病毒粒子DNA为部分双链结构，由一条全长病毒链（V链）和一条较短的70—80个碱基的引物链（P链）组成。引物链具有固定的5′端，并带有对碱不稳定的物质，推测为1—2个核糖核苷酸。该病毒基因组有两个方向相反的主要编码区，两侧由两个较小的基因间区隔开。P链上的编码区由两个主要开放阅读框（ORF）组成，二者串联排列且处于同一阅读框中。由这两个ORF组合推导的蛋白与木薯潜伏病毒基因组中单个ORF的产物高度对应，因此该区域很可能编码两个具有共同氨基末端的蛋白，其中一个是翻译越过第一个ORF琥珀终止密码子后形成的通读产物。基因间区含有潜在的转录起始和终止信号，其方向分别与两个相对的编码区一致。研究观察到相当程度的DNA序列异质性，主要包括编码区中同义或保守的第三位碱基替换，以及基因间区中的碱基替换、小片段插入和短距离小范围易位。</t>
  </si>
  <si>
    <t>MED:6493977</t>
  </si>
  <si>
    <t>T17</t>
  </si>
  <si>
    <t>S0225</t>
  </si>
  <si>
    <t>糖皮质激素和盐皮质激素对肾上腺切除大鼠促肾上腺皮质激素及β-内啡肽的影响</t>
  </si>
  <si>
    <t>研究测定了假手术大鼠，以及肾上腺切除后连续6天每日注射载体（油）、地塞米松、9α-氟皮质醇或脱氧皮质酮的大鼠血浆、垂体前叶、神经中间叶和下丘脑中的免疫反应性促肾上腺皮质激素（ir-ACTH）与免疫反应性β-内啡肽（ir-βEP）。肾上腺切除6天后，垂体前叶ir-ACTH和ir-βEP含量增至对照的2倍，血浆水平约增至5倍。肾上腺切除不改变下丘脑中两种肽的水平，也不改变神经中间叶中的ir-βEP；在常规稀释条件下，该组织中的ir-ACTH低于检测限。地塞米松（0.2—200 μg/天）同步抑制血浆ir-ACTH和ir-βEP，20 μg时接近最大效应，2—6 μg之间达到半数最大效应；胸腺萎缩也表现出相似的剂量—反应特征。垂体前叶中两种肽的含量随剂量逐级增加，而下丘脑中两种肽及神经中间叶ir-βEP均无变化。9α-氟皮质醇（0.2—200 μg/天）对血浆、垂体前叶和下丘脑的作用与地塞米松相当，但效力仅为其十分之一。与地塞米松不同，较高剂量的9α-氟皮质醇显著提高神经中间叶ir-βEP。脱氧皮质酮（2—2,000 μg/天）对血浆、垂体前叶或下丘脑中两种肽均无显著影响；但与9α-氟皮质醇类似，剂量高于60 μg/天时可显著提高神经中间叶ir-βEP。研究表明，垂体前叶中ir-ACTH和ir-βEP的合成与释放受到复杂的糖皮质激素负反馈调控，而神经中间叶ir-βEP含量还存在盐皮质激素特异性调节。</t>
  </si>
  <si>
    <t>MED:6279699</t>
  </si>
  <si>
    <t>T18</t>
  </si>
  <si>
    <t>S0417</t>
  </si>
  <si>
    <t>在低磷和高磷投入下，土壤微生物群以不同方式调节玉米根系转录组及生长</t>
  </si>
  <si>
    <t>有益微生物可促进植物生长，有害微生物则可能抑制生长。尽管单一微生物物种与宿主之间的互作已得到广泛研究，但宿主对土壤微生物群的生长和转录响应仍认识不足。研究者从一个设置两种不同土壤磷（P）管理制度的长期试验点采集自然土壤或灭菌土壤，并在其中种植玉米。研究分析了自然土壤中根相关生态位内微生物群落的组成，同时测定了在自然土壤或灭菌土壤中生长玉米的生物量、离子组和根系转录组。土壤微生物群可促进或抑制不同的磷饥饿响应（PSR）基因，并可在不依赖外界磷水平的情况下诱导多种防御相关代谢过程。长期施磷条件下的土壤微生物群引起较弱的PSR和防御反应，并抑制玉米生长。在低磷条件下，PSR和防御反应受到更强诱导，促进了磷吸收和生长。结果提示，土壤微生物群通过整合PSR和防御反应，以依赖土壤磷水平的方式影响玉米生长，并为理解根系生长与土壤微生物群的互作提供了更精细的认识。</t>
  </si>
  <si>
    <t>饥饿响应基因是基因组</t>
  </si>
  <si>
    <t>MED:39552518</t>
  </si>
  <si>
    <t>T19</t>
  </si>
  <si>
    <t>S0150</t>
  </si>
  <si>
    <t>普通菜豆的推定中美洲驯化中心位于墨西哥莱尔马—圣地亚哥流域</t>
  </si>
  <si>
    <t>中美洲粮食农业以米尔帕复合种植系统为特征，该系统由玉米（Zea mays L.）、普通菜豆（Phaseolus vulgaris L.）和南瓜（Cucurbita属）构成。近年来，有研究提出玉米的驯化中心位于墨西哥中西部的巴尔萨斯河流域，由此引出一个问题：巴尔萨斯流域是否也是整个中美洲粮食农业的起源中心。本研究利用26个微卫星标记，对155份来自中美洲基因库、具有代表性的野生和栽培普通菜豆样本开展遗传多样性调查。研究使用STRUCTURE、邻接树构建和主坐标分析对微卫星多样性进行分析。大多数中美洲栽培材料聚为一个类群，提示可能只发生过一次驯化。此外，与栽培类群亲缘关系最近的野生菜豆来自墨西哥中西部里奥莱尔马—里奥格兰德德圣地亚哥流域的一个局限区域，该区域不同于巴尔萨斯流域。虽然野生玉米和菜豆在自然环境中可共同生长，但二者似乎在不同地区被驯化，后来才在同一复合种植系统中重新组合。因此，中美洲作物驯化可能具有分散的地理起源，而不是单一起源。关于农业起源的考古和生态研究，应把重点从墨西哥干旱的东半部转向中西部地区。</t>
  </si>
  <si>
    <t>AGR:IND44184407</t>
  </si>
  <si>
    <t>T20</t>
  </si>
  <si>
    <t>S0262</t>
  </si>
  <si>
    <t>棉属物种核DNA含量的估算</t>
  </si>
  <si>
    <t>背景与目的：棉属（Gossypium）是一个具有重要经济价值且全球分布的类群，包含50多个物种。约半数物种的DNA含量估计值显示，其变异范围超过3倍；然而，仅陆地棉（G. hirsutum）的9个DNA含量估计值之间就相差超过2倍。近期研究表明，多种植物化合物会使常用方法获得的DNA含量估计产生偏差。本研究旨在检验利用流式细胞术测定棉属DNA含量时所用的标准化程序，并采用最佳标准化方法，为所有可获得的棉属物种生成修订后的DNA含量估计值。方法：采用流式细胞术测量经碘化丙啶染色的棉属分离细胞核荧光。根据大麦、玉米和水稻标准基因型的细胞核荧光，把荧光值换算为DNA含量估计值。研究评估了相对于标准材料的多种细胞核制备组合对估计结果的影响。主要结果：外标法和使用水稻‘IR36’的内标法得到的棉属DNA含量估计值在统计上相似；使用大麦‘Sultan’进行内标则得到偏高的DNA含量估计。研究通过外标法获得了37个棉属物种的核DNA含量估计值。祖先基因组大小的估计表明，核DNA含量在进化中既有增加也有减少。种内和基因组内DNA含量变异较低，异源多倍体AD基因组的大小接近其祖先基因组大小之和。结论：由于未知因素，大麦‘Sultan’可能不适合作为棉属DNA含量测定的内标。当前DNA含量估计支持公认的棉属细胞遗传学分类；棉属在基因组组内物种形成及异源多倍化过程中均表现出较高的基因组稳定性。</t>
  </si>
  <si>
    <t>MED:15701660</t>
  </si>
  <si>
    <t>20篇小批测试：自动建议对照（中文翻译版）</t>
  </si>
  <si>
    <t>本页在人工复核完成后使用。旧电脑预标是历史关键词规则；AI逐篇复核建议仍不是独立人工真值。</t>
  </si>
  <si>
    <t>v1自动理由</t>
  </si>
  <si>
    <t>AI逐篇复核建议</t>
  </si>
  <si>
    <t>AI复核理由</t>
  </si>
  <si>
    <t>v1与人工</t>
  </si>
  <si>
    <t>选择原因</t>
  </si>
  <si>
    <t>玉米仅作为底物、食品、饲料、标准、病毒宿主名称或环境背景。</t>
  </si>
  <si>
    <t>玉米秸秆是厌氧消化底物，实验针对反应器和细菌群落，没有玉米基因关系。</t>
  </si>
  <si>
    <t>固定随机种子；未按旧电脑标签挑选</t>
  </si>
  <si>
    <t>标题主体是其他物种、动物、人类或非农业工程主题。</t>
  </si>
  <si>
    <t>综述对象是葡萄与菌根，和玉米内源基因功能无关；综述类型本身不能判R。</t>
  </si>
  <si>
    <t>R边界</t>
  </si>
  <si>
    <t>实验对象是枯草芽孢杆菌及真菌毒素，玉米粉只是食品应用材料。</t>
  </si>
  <si>
    <t>研究棉籽密度和成分，没有玉米研究对象。</t>
  </si>
  <si>
    <t>研究儿童营养干预，玉米-大豆制品是补充食品。</t>
  </si>
  <si>
    <t>缺摘要；仅凭标题不能确认研究对象、实验类型和证据强度。</t>
  </si>
  <si>
    <t>标题显示金鱼草转座子与玉米Ac同源，但缺摘要；可能有D层比较证据，暂不能确认。</t>
  </si>
  <si>
    <t>D边界</t>
  </si>
  <si>
    <t>研究油气压裂液高分子凝胶，与玉米基因无关。</t>
  </si>
  <si>
    <t>缺摘要，但标题已明确研究其他物种且无玉米对象。</t>
  </si>
  <si>
    <t>标题明确是马铃薯育种，且缺少玉米对象。</t>
  </si>
  <si>
    <t>研究肉鸡对玉米饲料淀粉的消化，实验对象和结论均为动物营养。</t>
  </si>
  <si>
    <t>U边界</t>
  </si>
  <si>
    <t>与玉米有关，但没有足够信息形成可追溯的基因、蛋白或QTL关系。</t>
  </si>
  <si>
    <t>玉米幼苗生理和SOD酶活确有实测，但没有可识别的具体基因或等位基因；是否进入辅助生理层待定。</t>
  </si>
  <si>
    <t>研究蝙蝠冠状病毒数据来源，与玉米基因功能无关。</t>
  </si>
  <si>
    <t>E边界</t>
  </si>
  <si>
    <t>方法和功能实验主体是拟南芥及其他植物，没有玉米基因或玉米材料证据。</t>
  </si>
  <si>
    <t>X边界</t>
  </si>
  <si>
    <t>研究黄土高原不同植被的土壤水分，玉米只是农田植被类型之一。</t>
  </si>
  <si>
    <t>标题高度相关于Opaque2调控，但缺摘要，无法确认是原始实验、综述还是实际证据强度。</t>
  </si>
  <si>
    <t>A边界</t>
  </si>
  <si>
    <t>共表达网络和减数分裂基因研究对象是六倍体小麦。</t>
  </si>
  <si>
    <t>测序对象是玉米条纹病毒基因组，不是玉米内源基因。</t>
  </si>
  <si>
    <t>研究去肾上腺大鼠的激素反馈；油是给药载体，不是玉米证据。</t>
  </si>
  <si>
    <t>检测到玉米宿主表达、转录组或群体关联证据，但没有单基因直接扰动。</t>
  </si>
  <si>
    <t>实测玉米根转录组及磷响应/防御基因的表达变化，属于宿主表达关联；未做单基因扰动。</t>
  </si>
  <si>
    <t>C边界</t>
  </si>
  <si>
    <t>研究普通菜豆的驯化和遗传多样性，玉米只用于农业起源背景比较。</t>
  </si>
  <si>
    <t>研究棉属核DNA含量，玉米仅作为流式细胞术标准材料。</t>
  </si>
  <si>
    <t>B边界</t>
  </si>
  <si>
    <t>20篇小批测试：英文原文</t>
  </si>
  <si>
    <t>本页保留数据源中的英文题名和英文摘要，供核对中文翻译；原记录缺摘要或摘要截断的情况保持原样。</t>
  </si>
  <si>
    <t>英文题名</t>
  </si>
  <si>
    <t>英文摘要</t>
  </si>
  <si>
    <t>Coupling self-sustaining air flotation screening with conventional CSTR enhances anaerobic biodegradability of corn stover.</t>
  </si>
  <si>
    <t>The anaerobic biodegradability of lignocellulosic crop waste could be improved by proper pretreatments, but little information is available on enhancing straw digestibility through the reactor configuration. In a lab-based batch experiment, a novel reactor was established to testify the possibility to enhance anaerobic biodegradability of corn stover (CS) by coupling a self-sustaining air flotation screening (SAFS) unit with conventional continuous stirred tank reactor (CSTR). The SAFS-CSTR improved the maximum methane production by 14.27% with the duration of 16 d compared with the conventional CSTR for 20 d. The temporal and spatial distribution of basic indexes significantly differed from conventional CSTR. Elevated bacterial diversity and marked shifts in bacterial community composition were observed in different locations of reactor, with Bacteroidetes and Proteobacteria being the dominant phyla. SAFS unit would serve to separate inhibitors effectively and meanwhile enhance the mass-transfer efficiency, thus providing reference to upgrade or retrofit the conventional CSTR.</t>
  </si>
  <si>
    <t>Mycorrhizae and grapevines: the known unknowns of their interaction for wine growers' challenges.</t>
  </si>
  <si>
    <t>Arbuscular mycorrhizal fungi (AMF) play an important role in grapevine production systems. However, little is known about how this relationship is achieved in the nursery and how soil management might modify it and its derived benefits. Here, we review the current knowledge on the establishment of grapevine-AMF relationships from the nursery to the field, the main factors that affect the effectiveness of the symbiosis, the potential role of AMF as biostimulants in grapevine production systems, and the future perspectives of their use in the current context of climate change. The process of establishing mycorrhizal symbiosis is complex, and the molecular dialogue between the plant roots and the fungus is still not yet fully understood. During vine plant production, rooting occurs in nurseries, where spontaneous symbiosis can be generated. The effectiveness of mycorrhizal symbiosis appears to depend not only on the identity of the fungus but also on the diversity of the vine material and soil management. Finally, the use of AMF as biostimulants might be an effective strategy with which to face the new climatic scenario, but further research dealing with the application of AMF inocula and the protection of native cohorts should be conducted.</t>
  </si>
  <si>
    <t>Mechanistic Insights into Aflatoxin B1 and M1 Degradation by Bacillus subtilis HNGD-Mq02 from Wheat Koji and Its Application in Food Detoxification.</t>
  </si>
  <si>
    <t>Aflatoxin B 1 (AFB 1 ), the most toxic and prevalent mycotoxin in food and feed, and its hydroxylated metabolite aflatoxin M 1 (AFM 1 ), common in dairy products, pose serious health risks. Effective degradation of these toxins is thus a key goal in food safety. In this study, Bacillus subtilis HNGD-Mq02 was isolated and assessed for its ability to degrade AFB 1 and AFM 1 . Under optimal conditions (50 °C, pH 7), the fermentation broth achieved 94.06 and 98.26% degradation, respectively. Ultrahigh-performance liquid chromatography-mass spectrometry (UHPLC-MS) analysis confirmed that both mycotoxins were converted into less-toxic compounds. Zebrafish assays and Ames tests further verified the reduced toxicity of the degradation products. In practical application, the strain reduced AFB 1 by 72.90% in corn flour and AFM 1 by 42.25% in milk powder. Fermentation also led to partial improvements in nutritional quality. These results highlight the potential of B. subtilis HNGD-Mq02 for enhancing the safety and value of food and feed products.</t>
  </si>
  <si>
    <t>Cottonseed Density: Associated Physical and Chemical Properties of 10 Cultivars</t>
  </si>
  <si>
    <t>Recent studies have indicated that cottonseed (Gossypium hirsutum L.) germination and seedling vigor are more closely related to seed density than to any other physical properties such as size or weight. This study was undertaken to determine the physical and chemical differences among seed of different densities within a cultivar and among seed of the same density between cultivars. The primary objective was to relate physical or chemical properties to seed density and to offer an explanation for the reported correlation between seed density, germination, and seedling vigor. Cottonseed of 10 cultivars grown on the Texas High Plains were separated into 4 density groups using a pneumatic separator and increasing air velocities. Separation of seed by density was somewhat independent of cultivar; whereas, seed weight was highly dependent on the cultivar. As seed density increased, the proportion of the total seed weight attributable to the embryo increased from 50% to 65% across all cultivars. The lipid concentration increased significantly from the lowest to the second density group, then remained essentially constant thereafter. All chemical constituents increased significantly when expressed on the basis of seed content. A significant cultivar effect existed within each density group with respect to the quantity of material present. Seed density was a good indication of seed maturity, as shown by the ratios of embryo weight to total seed weight. Although the concentrations of the various chemical constituents were only slightly affected, the quantity of both organic and inorganic material available to the germinating seedling was increased as seed density increased.</t>
  </si>
  <si>
    <t>510 Independent and Combined Effectiveness of Multiple Micronutrient Supplementation and Responsive Caregiving Interventions to Support Early Child Development in Southwest Guatemala</t>
  </si>
  <si>
    <t>OBJECTIVES/GOALS: The objective of this study is to examine the independent and combined effectiveness of a multiple micronutrient supplementation and responsive caregiving intervention on early child development in southwestern Guatemala. METHODS/STUDY POPULATION: We conducted a double blind, 2 x 2, cluster randomized controlled trial combining micronutrient supplementation and responsive caregiving treatments. We enrolled 309 infants (6-18 months) and 387 preschoolers (36-52 months) at nutritional risk (height-for-age z-score &lt; -1) (51% male; 17% indigenous ethnicity; 76% of caregivers completed â‰¤ primary school). The supplementation arm received a maize-soy product fortified with 21 micronutrients for 6 months; the control was fortified with B2. The responsive caregiving intervention was adapted from the UNICEF Care for Child Development program and delivered over 6 home visits. We examined changes in early child development from baseline (2015) to endline (2017) using the Bayley Scales of Infant and Toddler Development III and Bracken Scales of School Readiness. RESULTS/ANTICIPATED RESULTS: Among infants, age standardized Bayley cognitive development scores declined over time in each treatment arm. Infant Bayley motor development scores significantly increased in the combined multiple micronutrient supplementation + responsive caregiving arm (â^† = 3.67 [95% CI: 0.17, 7.17], p = 0.04). Among preschoolers, school readiness decreased over time in each treatment arm. The rates of change in infant development and preschooler school readiness did not differ between treatment arms. Further analysis will explore effect modification of the intervention by pre-specified child and household factors. DISCUSSION/SIGNIFICANCE: Combined multiple micronutrient supplementation and responsive caregiving supported motor development while cognitive and school readiness were not impacted by the intervention. These findings will inform the effectiveness and beneficiaries of multisectoral interventions to promote early child development in adverse environments.</t>
  </si>
  <si>
    <t>Structural analysis of Tam3, a transposable element from Antirrhinum majus, reveals homologies to the Ac element from maize.</t>
  </si>
  <si>
    <t/>
  </si>
  <si>
    <t>Chemical and Physical Architecture of Macromolecular Gels for Fracturing Fluid Applications in the Oil and Gas Industry; Current Status, Challenges, and Prospects.</t>
  </si>
  <si>
    <t>Hydraulic fracturing is vital in recovering hydrocarbons from oil and gas reservoirs. It involves injecting a fluid under high pressure into reservoir rock. A significant part of fracturing fluids is the addition of polymers that become gels or gel-like under reservoir conditions. Polymers are employed as viscosifiers and friction reducers to provide proppants in fracturing fluids as a transport medium. There are numerous systems for fracturing fluids based on macromolecules. The employment of natural and man-made linear polymers, and also, to a lesser extent, synthetic hyperbranched polymers, as additives in fracturing fluids in the past one to two decades has shown great promise in enhancing the stability of fracturing fluids under various challenging reservoir conditions. Modern innovations demonstrate the importance of developing chemical structures and properties to improve performance. Key challenges include maintaining viscosity under reservoir conditions and achieving suitable shear-thinning behavior. The physical architecture of macromolecules and novel crosslinking processes are essential in addressing these issues. The effect of macromolecule interactions on reservoir conditions is very critical in regard to efficient fluid qualities and successful fracturing operations. In future, there is the potential for ongoing studies to produce specialized macromolecular solutions for increased efficiency and sustainability in oil and gas applications.</t>
  </si>
  <si>
    <t>New Frontiers in Potato Breeding: Tinkering with Reproductive Genes and Apomixis</t>
  </si>
  <si>
    <t>Maize feeds and influence of xylanase on broiler digestion of starch</t>
  </si>
  <si>
    <t>The primary cereal grain used in poultry feed worldwide is maize. An understanding of how and where broiler chickens digest native starches, this being the major energy component of maize, and the influence that exogenous xylanase has on this process, is essential when optimising nutrient utilisation of a diet. In this project, both in vitro and in vivo models were used to understand broiler digestion of starches in different maize-based diets: native maize starch, maize grit and maize-soy with or without xylanase (Econase XT 25 at 100 g/t; 18,100 BXU/kg). An in vitro model to simulate the digestive tract of broilers using a ball milling technique to mimic the chicken gizzard was designed to investigate differences in the digestion of starches between the various diets. Reduced starch crystallinity and particle size of the diet was shown when samples were ball milled in HCl-pepsin, compared to roller mixed samples, leading to a greater glucose release when these samples were incubated with pancreatin. The maize-soy diet gave the greatest glucose release with pancreatin, with native maize starch giving the lowest, indicating that the processing of diets prior to digestion as well as the surrounding food matrix ... (continues)</t>
  </si>
  <si>
    <t>Lipid peroxidation damage to leaves of Zea mays L. seedlings under calcium deficiency.</t>
  </si>
  <si>
    <t>Corn seedlings were cultured hydroponies until the 4th leaf emerged then transfered some seedlings to Ca-free media every four days until the eighth leaf stage.In the eight-leaf corn seedlings,the correlation between lidpid peroxidation destruction of membrane system and ultrastructure changes of mesophyll cells was studied.In early stage of Ca-deficiency,the mesophyll cells maintained high superoxide dismutase activity and lower lipid peroxidation.With the development of Ca-deficiency,the superoxide dismutase activity decreased,especially the Cu,Zn-SOD activity,MDA content and membrane permeability increased,cell organelles were destroyed severely and even the whole cell structure was ruined.The ultrastructure damages of mesophyll cells were first observed in chloroplast,followed by the mitochondria,plasmolemma,nuclear membrane and endoplast membrane.The destruction of membrane system under calcium deficiency indicated that lipid peroxidation was enhanced by calcium deficiency.</t>
  </si>
  <si>
    <t>SARS-CoV-2's closest relative, RaTG13, was generated from a bat transcriptome not a fecal swab: implications for the origin of COVID-19</t>
  </si>
  <si>
    <t>RaTG13 is the closest related coronavirus genome phylogenetically to SARS-CoV-2, consequently understanding its provenance is of key importance to understanding the origin of the COVID-19 pandemic. The RaTG13 NGS dataset is attributed to a fecal swab from the intermediate horseshoe bat Rhinolophus affinis. However, sequence analysis reveals that this is unlikely. Metagenomic analysis using Metaxa2 shows that only 10.3 % of small subunit (SSU) rRNA sequences in the dataset are bacterial, inconsistent with a fecal sample, which are typically dominated by bacterial sequences. In addition, the bacterial taxa present in the sample are inconsistent with fecal material. Assembly of mitochondrial SSU rRNA sequences in the dataset produces a contig 98.7 % identical to R.affinis mitochondrial SSU rRNA, indicating that the sample was generated from this or a closely related species. 87.5 % of the NGS reads map to the Rhinolophus ferrumequinum genome, the closest bat genome to R.affinis available. In the annotated genome assembly, 62.2 % of mapped reads map to protein coding genes. These results clearly demonstrate that the dataset represents a Rhinolophus sp. transcriptome, and not a fecal swab sample. Overall, the data show that the RaTG13 dataset was generated by the Wuhan Institute of Virology (WIV) from a transcriptome derived from Rhinolophus sp. tissue or cell line, indicating that RaTG13 was in live culture. This raises the question of whether the WIV was culturing additional unreported coronaviruses closely related to SARS-CoV-2 prior to the pandemic. The implications for the origin of the COVID-19 pandemic are discussed.</t>
  </si>
  <si>
    <t>The FAST technique: a simplified Agrobacterium-based transformation method for transient gene expression analysis in seedlings of Arabidopsis and other plant species.</t>
  </si>
  <si>
    <t>Background Plant genome sequencing has resulted in the identification of a large number of uncharacterized genes. To investigate these unknown gene functions, several transient transformation systems have been developed as quick and convenient alternatives to the lengthy transgenic assay. These transient assays include biolistic bombardment, protoplast transfection and Agrobacterium-mediated transient transformation, each having advantages and disadvantages depending on the research purposes. Results We present a novel transient assay based on cocultivation of young Arabidopsis (Arabidopsis thaliana) seedlings with Agrobacterium tumefaciens in the presence of a surfactant which does not require any dedicated equipment and can be carried out within one week from sowing seeds to protein analysis. This Fast Agro-mediated Seedling Transformation (FAST) was used successfully to express a wide variety of constructs driven by different promoters in Arabidopsis seedling cotyledons (but not roots) in diverse genetic backgrounds. Localizations of three previously uncharacterized proteins were identified by cotransformation with fluorescent organelle markers. The FAST procedure requires minimal handling of seedlings and was also adaptable for use in 96-well plates. The high transformation efficiency of the FAST procedure enabled protein detection from eight transformed seedlings by immunoblotting. Protein-protein interaction, in this case HY5 homodimerization, was readily detected in FAST-treated seedlings with Förster resonance energy transfer and bimolecular fluorescence complementation techniques. Initial tests demonstrated that the FAST procedure can also be applied to other dicot and monocot species, including tobacco, tomato, rice and switchgrass. Conclusion The FAST system provides a rapid, efficient and economical assay of gene function in intact plants with minimal manual handling and without dedicated device. This method is potentially ideal for future automated high-throughput analysis.</t>
  </si>
  <si>
    <t>Soil water deficit and recovery under different vegetation types on the Chinese Loess Plateau</t>
  </si>
  <si>
    <t>Characterizing soil water content (SWC) dynamics is a prerequisite for conducting sustainable vegetation restoration on the Chinese Loess Plateau. However, quantifying the variations of the SWC in the deep soil layers remains a challenge because of the different driving factors and the complexity of surface processes. In this study, SWC in 0–10 m of artificial forestlands (AF), apple orchard (AO), native forestland (NF), farmland (maize; FL), and native grassland (NG) were monitored during 2019–2020. The deficit size (DS) and recovery index (RI) were used to explore the effects of vegetation types on SWC. The results showed that the SWCs of forestlands were significantly lower than the SWC of native grassland (12.32%) and tree species significantly affected the SWC. The monthly DS values in forestlands were negative, while those of FL were positive. The DS value in 0-10 m and predictive values below 10 m were negative of forestlands. Thus, tree planting may have consumed soil water at a depth of &gt; 10 m. During the investigation period, soil water was restored in 0–1 m with the positive RI values. In addition, artificial forestlands showed good performance in deep soil water recovery. Canopy density was the controlling factor for soil water restoration. Our results demonstrated that the current afforestation mode used more soil water but was conducive to deep soil water conservation. Therefore, reasonable adjustments should be made according to the local soil and water resources for future vegetation selection and management.</t>
  </si>
  <si>
    <t>The role of the Opaque2 transcriptional factor in the regulation of protein accumulation and amino acid metabolism in maize seeds.</t>
  </si>
  <si>
    <t>A Co-Expression Network in Hexaploid Wheat Reveals Mostly Balanced Expression and Lack of Significant Gene Loss of Homeologous Meiotic Genes Upon Polyploidization.</t>
  </si>
  <si>
    <t>Polyploidization has played an important role in plant evolution. However, upon polyploidization, the process of meiosis must adapt to ensure the proper segregation of increased numbers of chromosomes to produce balanced gametes. It has been suggested that meiotic gene (MG) duplicates return to a single copy following whole genome duplication to stabilize the polyploid genome. Therefore, upon the polyploidization of wheat, a hexaploid species with three related (homeologous) genomes, the stabilization process may have involved rapid changes in content and expression of MGs on homeologous chromosomes (homeologs). To examine this hypothesis, sets of candidate MGs were identified in wheat using co-expression network analysis and orthology informed approaches. In total, 130 RNA-Seq samples from a range of tissues including wheat meiotic anthers were used to define co-expressed modules of genes. Three modules were significantly correlated with meiotic tissue samples but not with other tissue types. These modules were enriched for GO terms related to cell cycle, DNA replication, and chromatin modification and contained orthologs of known MGs. Overall, 74.4% of genes within these meiosis-related modules had three homeologous copies which was similar to other tissue-related modules. Amongst wheat MGs identified by orthology, rather than co-expression, the majority (93.7%) were either retained in hexaploid wheat at the same number of copies (78.4%) or increased in copy number (15.3%) compared to ancestral wheat species. Furthermore, genes within meiosis-related modules showed more balanced expression levels between homeologs than genes in non-meiosis-related modules. Taken together, our results do not support extensive gene loss nor changes in homeolog expression of MGs upon wheat polyploidization. The construction of the MG co-expression network allowed identification of hub genes and provided key targets for future studies.</t>
  </si>
  <si>
    <t>Physical structure and genetic organisation of the genome of maize streak virus (Kenyan isolate).</t>
  </si>
  <si>
    <t>The structure of the maize streak virus genome (Kenyan isolate, MSV-K), as determined from the sequence of clones obtained from DNA isolated from virus particles, is composed of one major DNA component of about 2.6 kb. MSV virion DNA is partially double-stranded, composed of a full-length virion (V) strand and a short (70-80b) primer (P) strand. The primer strand has a fixed 5'-end capped with alkaline labile material, presumably 1-2 ribonucleotides. The MSV genome has two major coding regions oriented on opposite strands and flanked by two small intergenic regions. The coding region on the P strand is composed of two major open reading frames (ORFs), arranged in tandem and in the same reading frame. Because the predicted protein derived from a composite of these two ORFs closely corresponds to the product from a single ORF in the cassava latent virus genome, it is likely that this region encodes two proteins with common amino-termini, one a read-through product of the amber codon terminator in the first ORF. The intergenic regions contain potential transcription start and stop signals oriented in the direction of the two opposing coding regions. Considerable DNA sequence heterogeneity was observed, mostly silent or conservative third base substitutions in coding regions and base substitutions, small insertions and small, close-range transpositions in intergenic regions.</t>
  </si>
  <si>
    <t>Glucocorticoid and mineralocorticoid effects on adrenocorticotropin and beta-endorphin in the adrenalectomized rat.</t>
  </si>
  <si>
    <t>Immunoreactive ACTH (ir-ACTH) and immunoreactive beta-endorphin (ir-betaEP) were determined in plasma, anterior pituitary, neuro-intermediate lobe, and hypothalamus of sham-adrenalectomized rats, and adrenalectomized rats given six daily injections of vehicle (oil), dexamethasone, 9alpha-fluorocortisol or deoxycorticosterone. 6 d after adrenalectomy, anterior pituitary ir-ACTH and ir-betaEP were double, and plasma levels approximately fivefold those in controls. Adrenalectomy did not alter hypothalamic levels of either peptide, or ir-betaEP in neuro-intermediate lobe, in which tissue ir-ACTH was below detection limit at routine dilutions. Dexamethasone (0.2-200 mug/d) concurrently suppressed plasma ir-ACTH and ir-betaEP, with a near maximal effect at 20 mug, and a half-maximal effect between 2 and 6 mug; similar dose-response characteristics were found for thymolysis. Step-wise increases in anterior pituitary content of both peptides were found, with no change in hypothalamic levels of either peptide, or neuro-intermediate lobe ir-betaEP. 9alpha-fluorocortisol (0.2-200 mug/d) produced plasma, anterior pituitary, and hypothalamic effects equivalent to dexamethasone, but with one-tenth the potency. Unlike dexamethasone, higher doses of 9alpha-fluorocortisol significantly elevated neuro-intermediate lobe ir-betaEP. Deoxycorticosterone (2-2,000 mug/d) produced no significant changes in plasma, anterior pituitary or hypothalamic levels of either peptide; like 9alpha-fluorocortisol, doses of &gt;60 mug/d significantly elevated neuro-intermediate lobe ir-betaEP. Whereas ir-ACTH and ir-betaEP synthesis in and release from the anterior pituitary are under complex negative feedback glucocorticoid control, there exists a mineralocorticoid-specific effect on neuro-intermediate lobe content of ir-betaEP.</t>
  </si>
  <si>
    <t>Soil Microbiota Modulates Root Transcriptome With Divergent Effect on Maize Growth Under Low and High Phosphorus Inputs.</t>
  </si>
  <si>
    <t>Plant growth can be promoted by beneficial microorganisms, or inhibited by detrimental ones. Although the interaction process between a single microbial species and its host has been extensively studied, the growth and transcriptional response of the host to soil microbiota is poorly understood. We planted maize in natural or sterile soil collected from a long-term experimental site with two different soil phosphate (P) regimes. We examined the composition of microbial communities inhabiting root-associated niches in natural soil. In parallel, we determined the biomass, ionomes, and root transcriptome profiling of maize grown in natural or sterile soil. Soil microbiota could promote or inhibit different P starvation-responsive (PSR) genes, as well as induce several defense-related metabolic processes independently of external P levels. Soil microbiota accompanied by long-term application of P fertilizer induced lower intensity of PSR and defense responses, inhibiting maize growth. Under a low P regime, the PSR and defense responses were induced to a higher extent, promoting P absorption and growth. Our findings suggest a soil P-dependent effect of microbiota on maize growth by integrating PSR and defense responses and provide a more refined understanding of the interaction between root growth and soil microbiota.</t>
  </si>
  <si>
    <t>The Putative Mesoamerican Domestication Center of Phaseolus vulgaris Is Located in the Lerma–Santiago Basin of Mexico</t>
  </si>
  <si>
    <t>Mesoamerican food agriculture is defined by the milpa cropping system, consisting of maize (Zea mays L.), common bean (Phaseolus vulgaris L.), and squash (Cucurbita spp.). In recent years, a domestication center for maize has been proposed in the Balsas River basin in west-central Mexico, raising the question whether the Balsas basin was also the center of origin for Mesoamerican food agriculture in general. We conducted a survey of genetic diversity for 26 microsatellite markers in a representative sample of 155 wild and domesticated common bean from its Mesoamerican gene pool. Microsatellite diversity was analyzed with STRUCTURE, neighbor-joining tree construction, and principal coordinate analysis. Most Mesoamerican domesticated accessions clustered in a single group, suggesting a single domestication. Furthermore, the most closely related wild beans to the domesticated clade originated from a restricted region in the Rio Lerma–Rio Grande de Santiago basin in west-central Mexico, distinct from the Balsas basin. Although wild maize and Phaseolus beans grow together in the wild, they appear to have been domesticated in different regions to be reunited later on in a single cropping system. Crop domestications in Mesoamerica may therefore have a diffuse rather than a single geographic origin. Archaeological and ecological investigations into the origins of agriculture should be refocused from the arid eastern half of Mexico to the west-central part of the country.</t>
  </si>
  <si>
    <t>Estimation of the nuclear DNA content of gossypium species.</t>
  </si>
  <si>
    <t>Background and aims Gossypium is an economically important, globally distributed taxon comprising more than 50 species. DNA content estimates from about half of the species indicate over a 3-fold variation exists. However, the nine DNA content estimates for G. hirsutum reveal over a 2-fold difference for this species alone. Recent reports have shown that several plant compounds can bias DNA content estimates obtained by commonly used methods. The purpose of this research was to examine the standardization procedures used for DNA content determinations with flow cytometry as applied to Gossypium, and generate revised DNA content estimates for all available Gossypium species using best-standard practices. Methods Flow cytometry was used to measure fluorescence of isolated Gossypium nuclei stained with propidium iodide. Fluorescence values were converted to DNA content estimates based on the nuclear fluorescence of standard genotypes of barley, corn and rice. Various combinations of nuclei preparations relative to the standards were evaluated for their influence on the estimates. Key results Both external standardization and internal standardization with Oryza sativa 'IR36' yielded statistically similar DNA content estimates for Gossypium. Internal standardization with Hordeum vulgare 'Sultan' resulted in a high estimate of DNA content. Nuclear DNA content estimates were generated for 37 Gossypium species using external standardization. Estimates of ancestral genome sizes reveal that both increases and decreases in nuclear DNA content have occurred. Variation in intraspecific and intragenomic DNA content was low, and the allopolyploid AD-genome size was nearly the additive of its progenitor genomes. Conclusions Due to unknown factors, internal standardization with H. vulgare 'Sultan' may not be appropriate for DNA content determinations of Gossypium. The current DNA content estimates support accepted cytogenetic divisions of the genus. Gossypium is a genus that exhibits genome constancy both through speciation within genomic groups and allopolyploidization.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</si>
</sst>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name val="Carlito"/>
      <charset val="134"/>
    </font>
    <font>
      <b/>
      <sz val="15"/>
      <color rgb="FF1F2937"/>
      <name val="Arial"/>
      <charset val="134"/>
    </font>
    <font>
      <i/>
      <sz val="10"/>
      <color rgb="FF5F6B7A"/>
      <name val="Arial"/>
      <charset val="134"/>
    </font>
    <font>
      <b/>
      <sz val="10"/>
      <color rgb="FFFFFFFF"/>
      <name val="Arial"/>
      <charset val="134"/>
    </font>
    <font>
      <sz val="10"/>
      <color rgb="FF1F2937"/>
      <name val="Arial"/>
      <charset val="134"/>
    </font>
    <font>
      <sz val="10"/>
      <color rgb="FF1F2937"/>
      <name val="宋体"/>
      <charset val="134"/>
    </font>
    <font>
      <sz val="11"/>
      <name val="Arial"/>
      <charset val="134"/>
    </font>
    <font>
      <b/>
      <sz val="10"/>
      <color rgb="FF1F2937"/>
      <name val="Arial"/>
      <charset val="134"/>
    </font>
    <font>
      <i/>
      <sz val="9"/>
      <color rgb="FF5F6B7A"/>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F3F6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C9D2DC"/>
      </bottom>
      <diagonal/>
    </border>
    <border>
      <left/>
      <right/>
      <top style="thin">
        <color rgb="FFC9D2DC"/>
      </top>
      <bottom style="thin">
        <color rgb="FFC9D2DC"/>
      </bottom>
      <diagonal/>
    </border>
    <border>
      <left/>
      <right style="thin">
        <color rgb="FFC9D2DC"/>
      </right>
      <top/>
      <bottom style="thin">
        <color rgb="FFC9D2DC"/>
      </bottom>
      <diagonal/>
    </border>
    <border>
      <left style="thin">
        <color rgb="FFC9D2DC"/>
      </left>
      <right/>
      <top/>
      <bottom style="thin">
        <color rgb="FFC9D2DC"/>
      </bottom>
      <diagonal/>
    </border>
    <border>
      <left/>
      <right style="thin">
        <color rgb="FFC9D2DC"/>
      </right>
      <top style="thin">
        <color rgb="FFC9D2DC"/>
      </top>
      <bottom style="thin">
        <color rgb="FFC9D2DC"/>
      </bottom>
      <diagonal/>
    </border>
    <border>
      <left style="thin">
        <color rgb="FFC9D2DC"/>
      </left>
      <right/>
      <top style="thin">
        <color rgb="FFC9D2DC"/>
      </top>
      <bottom style="thin">
        <color rgb="FFC9D2DC"/>
      </bottom>
      <diagonal/>
    </border>
    <border>
      <left/>
      <right style="thin">
        <color rgb="FFC9D2DC"/>
      </right>
      <top style="thin">
        <color rgb="FFC9D2DC"/>
      </top>
      <bottom/>
      <diagonal/>
    </border>
    <border>
      <left style="thin">
        <color rgb="FFC9D2DC"/>
      </left>
      <right/>
      <top style="thin">
        <color rgb="FFC9D2DC"/>
      </top>
      <bottom/>
      <diagonal/>
    </border>
    <border>
      <left style="thin">
        <color rgb="FFC9D2DC"/>
      </left>
      <right style="thin">
        <color rgb="FFC9D2DC"/>
      </right>
      <top/>
      <bottom style="thin">
        <color rgb="FFC9D2DC"/>
      </bottom>
      <diagonal/>
    </border>
    <border>
      <left style="thin">
        <color rgb="FFC9D2DC"/>
      </left>
      <right style="thin">
        <color rgb="FFC9D2DC"/>
      </right>
      <top style="thin">
        <color rgb="FFC9D2DC"/>
      </top>
      <bottom style="thin">
        <color rgb="FFC9D2DC"/>
      </bottom>
      <diagonal/>
    </border>
    <border>
      <left style="thin">
        <color rgb="FFC9D2DC"/>
      </left>
      <right style="thin">
        <color rgb="FFC9D2DC"/>
      </right>
      <top style="thin">
        <color rgb="FFC9D2DC"/>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1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6" applyNumberFormat="0" applyFill="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7" fillId="0" borderId="0" applyNumberFormat="0" applyFill="0" applyBorder="0" applyAlignment="0" applyProtection="0">
      <alignment vertical="center"/>
    </xf>
    <xf numFmtId="0" fontId="18" fillId="6" borderId="18" applyNumberFormat="0" applyAlignment="0" applyProtection="0">
      <alignment vertical="center"/>
    </xf>
    <xf numFmtId="0" fontId="19" fillId="7" borderId="19" applyNumberFormat="0" applyAlignment="0" applyProtection="0">
      <alignment vertical="center"/>
    </xf>
    <xf numFmtId="0" fontId="20" fillId="7" borderId="18" applyNumberFormat="0" applyAlignment="0" applyProtection="0">
      <alignment vertical="center"/>
    </xf>
    <xf numFmtId="0" fontId="21" fillId="8" borderId="20" applyNumberFormat="0" applyAlignment="0" applyProtection="0">
      <alignment vertical="center"/>
    </xf>
    <xf numFmtId="0" fontId="22" fillId="0" borderId="21" applyNumberFormat="0" applyFill="0" applyAlignment="0" applyProtection="0">
      <alignment vertical="center"/>
    </xf>
    <xf numFmtId="0" fontId="23" fillId="0" borderId="22"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0" fillId="0" borderId="0"/>
  </cellStyleXfs>
  <cellXfs count="38">
    <xf numFmtId="0" fontId="0" fillId="0" borderId="0" xfId="49"/>
    <xf numFmtId="0" fontId="1" fillId="0" borderId="0" xfId="49" applyNumberFormat="1" applyFont="1" applyFill="1" applyBorder="1"/>
    <xf numFmtId="0" fontId="0" fillId="2" borderId="0" xfId="49" applyNumberFormat="1" applyFont="1" applyFill="1" applyBorder="1"/>
    <xf numFmtId="0" fontId="2" fillId="0" borderId="0" xfId="49" applyNumberFormat="1" applyFont="1" applyFill="1" applyBorder="1"/>
    <xf numFmtId="0" fontId="3" fillId="2" borderId="1" xfId="49" applyNumberFormat="1" applyFont="1" applyFill="1" applyBorder="1" applyAlignment="1">
      <alignment horizontal="center" vertical="center" wrapText="1"/>
    </xf>
    <xf numFmtId="0" fontId="3" fillId="2" borderId="2" xfId="49" applyNumberFormat="1" applyFont="1" applyFill="1" applyBorder="1" applyAlignment="1">
      <alignment horizontal="center" vertical="center" wrapText="1"/>
    </xf>
    <xf numFmtId="0" fontId="3" fillId="2" borderId="3" xfId="49" applyNumberFormat="1" applyFont="1" applyFill="1" applyBorder="1" applyAlignment="1">
      <alignment horizontal="center" vertical="center" wrapText="1"/>
    </xf>
    <xf numFmtId="0" fontId="4" fillId="0" borderId="4" xfId="49" applyNumberFormat="1" applyFont="1" applyFill="1" applyBorder="1" applyAlignment="1">
      <alignment vertical="top"/>
    </xf>
    <xf numFmtId="0" fontId="4" fillId="0" borderId="4" xfId="49" applyNumberFormat="1" applyFont="1" applyFill="1" applyBorder="1" applyAlignment="1">
      <alignment vertical="top" wrapText="1"/>
    </xf>
    <xf numFmtId="0" fontId="4" fillId="0" borderId="5" xfId="49" applyNumberFormat="1" applyFont="1" applyFill="1" applyBorder="1" applyAlignment="1">
      <alignment vertical="top"/>
    </xf>
    <xf numFmtId="0" fontId="4" fillId="0" borderId="5" xfId="49" applyNumberFormat="1" applyFont="1" applyFill="1" applyBorder="1" applyAlignment="1">
      <alignment vertical="top" wrapText="1"/>
    </xf>
    <xf numFmtId="0" fontId="4" fillId="0" borderId="4" xfId="49" applyNumberFormat="1" applyFont="1" applyFill="1" applyBorder="1" applyAlignment="1">
      <alignment horizontal="center" vertical="top" wrapText="1"/>
    </xf>
    <xf numFmtId="0" fontId="4" fillId="0" borderId="5" xfId="49" applyNumberFormat="1" applyFont="1" applyFill="1" applyBorder="1" applyAlignment="1">
      <alignment horizontal="center" vertical="top" wrapText="1"/>
    </xf>
    <xf numFmtId="0" fontId="4" fillId="3" borderId="4" xfId="49" applyNumberFormat="1" applyFont="1" applyFill="1" applyBorder="1" applyAlignment="1">
      <alignment horizontal="center" vertical="top" wrapText="1"/>
    </xf>
    <xf numFmtId="0" fontId="4" fillId="3" borderId="4" xfId="49" applyNumberFormat="1" applyFont="1" applyFill="1" applyBorder="1" applyAlignment="1">
      <alignment vertical="top" wrapText="1"/>
    </xf>
    <xf numFmtId="0" fontId="4" fillId="3" borderId="5" xfId="49" applyNumberFormat="1" applyFont="1" applyFill="1" applyBorder="1" applyAlignment="1">
      <alignment horizontal="center" vertical="top" wrapText="1"/>
    </xf>
    <xf numFmtId="0" fontId="4" fillId="3" borderId="5" xfId="49" applyNumberFormat="1" applyFont="1" applyFill="1" applyBorder="1" applyAlignment="1">
      <alignment vertical="top" wrapText="1"/>
    </xf>
    <xf numFmtId="0" fontId="5" fillId="3" borderId="5" xfId="49" applyNumberFormat="1" applyFont="1" applyFill="1" applyBorder="1" applyAlignment="1">
      <alignment vertical="top" wrapText="1"/>
    </xf>
    <xf numFmtId="0" fontId="6" fillId="0" borderId="0" xfId="49" applyNumberFormat="1" applyFont="1" applyFill="1" applyBorder="1" applyAlignment="1">
      <alignment vertical="center"/>
    </xf>
    <xf numFmtId="0" fontId="1" fillId="0" borderId="0" xfId="49" applyNumberFormat="1" applyFont="1" applyFill="1" applyBorder="1" applyAlignment="1">
      <alignment vertical="center"/>
    </xf>
    <xf numFmtId="0" fontId="6" fillId="2" borderId="0" xfId="49" applyNumberFormat="1" applyFont="1" applyFill="1" applyBorder="1" applyAlignment="1">
      <alignment vertical="center"/>
    </xf>
    <xf numFmtId="0" fontId="2" fillId="0" borderId="0" xfId="49" applyNumberFormat="1" applyFont="1" applyFill="1" applyBorder="1" applyAlignment="1">
      <alignment vertical="center"/>
    </xf>
    <xf numFmtId="0" fontId="4" fillId="0" borderId="6" xfId="49" applyNumberFormat="1" applyFont="1" applyFill="1" applyBorder="1" applyAlignment="1">
      <alignment vertical="center"/>
    </xf>
    <xf numFmtId="0" fontId="4" fillId="0" borderId="7" xfId="49" applyNumberFormat="1" applyFont="1" applyFill="1" applyBorder="1" applyAlignment="1">
      <alignment horizontal="right" vertical="center"/>
    </xf>
    <xf numFmtId="0" fontId="4" fillId="4" borderId="0" xfId="49" applyNumberFormat="1" applyFont="1" applyFill="1" applyBorder="1" applyAlignment="1">
      <alignment vertical="center"/>
    </xf>
    <xf numFmtId="0" fontId="4" fillId="0" borderId="8" xfId="49" applyNumberFormat="1" applyFont="1" applyFill="1" applyBorder="1" applyAlignment="1">
      <alignment vertical="center"/>
    </xf>
    <xf numFmtId="0" fontId="4" fillId="0" borderId="9" xfId="49" applyNumberFormat="1" applyFont="1" applyFill="1" applyBorder="1" applyAlignment="1">
      <alignment horizontal="right" vertical="center"/>
    </xf>
    <xf numFmtId="0" fontId="4" fillId="0" borderId="10" xfId="49" applyNumberFormat="1" applyFont="1" applyFill="1" applyBorder="1" applyAlignment="1">
      <alignment vertical="center"/>
    </xf>
    <xf numFmtId="0" fontId="7" fillId="3" borderId="11" xfId="49" applyNumberFormat="1" applyFont="1" applyFill="1" applyBorder="1" applyAlignment="1">
      <alignment horizontal="right" vertical="center"/>
    </xf>
    <xf numFmtId="0" fontId="4" fillId="0" borderId="12" xfId="49" applyNumberFormat="1" applyFont="1" applyFill="1" applyBorder="1" applyAlignment="1">
      <alignment vertical="center"/>
    </xf>
    <xf numFmtId="0" fontId="4" fillId="0" borderId="7" xfId="49" applyNumberFormat="1" applyFont="1" applyFill="1" applyBorder="1" applyAlignment="1">
      <alignment vertical="center"/>
    </xf>
    <xf numFmtId="0" fontId="4" fillId="0" borderId="13" xfId="49" applyNumberFormat="1" applyFont="1" applyFill="1" applyBorder="1" applyAlignment="1">
      <alignment vertical="center"/>
    </xf>
    <xf numFmtId="0" fontId="4" fillId="0" borderId="9" xfId="49" applyNumberFormat="1" applyFont="1" applyFill="1" applyBorder="1" applyAlignment="1">
      <alignment vertical="center"/>
    </xf>
    <xf numFmtId="0" fontId="4" fillId="0" borderId="14" xfId="49" applyNumberFormat="1" applyFont="1" applyFill="1" applyBorder="1" applyAlignment="1">
      <alignment vertical="center"/>
    </xf>
    <xf numFmtId="0" fontId="4" fillId="0" borderId="11" xfId="49" applyNumberFormat="1" applyFont="1" applyFill="1" applyBorder="1" applyAlignment="1">
      <alignment vertical="center"/>
    </xf>
    <xf numFmtId="0" fontId="8" fillId="4" borderId="0" xfId="49" applyNumberFormat="1" applyFont="1" applyFill="1" applyBorder="1" applyAlignment="1">
      <alignment vertical="center" wrapText="1"/>
    </xf>
    <xf numFmtId="0" fontId="6" fillId="0" borderId="0" xfId="49" applyNumberFormat="1" applyFont="1" applyFill="1" applyBorder="1" applyAlignment="1">
      <alignment vertical="center" wrapText="1"/>
    </xf>
    <xf numFmtId="0" fontId="7" fillId="3" borderId="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9C0006"/>
      </font>
      <fill>
        <patternFill patternType="solid">
          <bgColor rgb="FFFCE4D6"/>
        </patternFill>
      </fill>
    </dxf>
    <dxf>
      <font>
        <b val="1"/>
        <color rgb="FF375623"/>
      </font>
      <fill>
        <patternFill patternType="solid">
          <bgColor rgb="FFE2F0D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J30"/>
  <sheetViews>
    <sheetView showGridLines="0" workbookViewId="0">
      <selection activeCell="A1" sqref="A1"/>
    </sheetView>
  </sheetViews>
  <sheetFormatPr defaultColWidth="9" defaultRowHeight="14"/>
  <cols>
    <col min="1" max="1" width="16" customWidth="1"/>
    <col min="2" max="2" width="38" customWidth="1"/>
    <col min="3" max="3" width="12" customWidth="1"/>
    <col min="4" max="4" width="10" customWidth="1"/>
    <col min="5" max="5" width="13" customWidth="1"/>
    <col min="6" max="10" width="14" customWidth="1"/>
  </cols>
  <sheetData>
    <row r="1" spans="1:10">
      <c r="A1" s="18"/>
      <c r="B1" s="18"/>
      <c r="C1" s="18"/>
      <c r="D1" s="18"/>
      <c r="E1" s="18"/>
      <c r="F1" s="18"/>
      <c r="G1" s="18"/>
      <c r="H1" s="18"/>
      <c r="I1" s="18"/>
      <c r="J1" s="18"/>
    </row>
    <row r="2" ht="19" spans="1:10">
      <c r="A2" s="19" t="s">
        <v>0</v>
      </c>
      <c r="B2" s="18"/>
      <c r="C2" s="18"/>
      <c r="D2" s="18"/>
      <c r="E2" s="18"/>
      <c r="F2" s="18"/>
      <c r="G2" s="18"/>
      <c r="H2" s="18"/>
      <c r="I2" s="18"/>
      <c r="J2" s="18"/>
    </row>
    <row r="3" spans="1:10">
      <c r="A3" s="20"/>
      <c r="B3" s="20"/>
      <c r="C3" s="20"/>
      <c r="D3" s="20"/>
      <c r="E3" s="20"/>
      <c r="F3" s="20"/>
      <c r="G3" s="20"/>
      <c r="H3" s="20"/>
      <c r="I3" s="20"/>
      <c r="J3" s="20"/>
    </row>
    <row r="4" spans="1:10">
      <c r="A4" s="18"/>
      <c r="B4" s="18"/>
      <c r="C4" s="18"/>
      <c r="D4" s="18"/>
      <c r="E4" s="18"/>
      <c r="F4" s="18"/>
      <c r="G4" s="18"/>
      <c r="H4" s="18"/>
      <c r="I4" s="18"/>
      <c r="J4" s="18"/>
    </row>
    <row r="5" spans="1:10">
      <c r="A5" s="21" t="s">
        <v>1</v>
      </c>
      <c r="B5" s="21"/>
      <c r="C5" s="21"/>
      <c r="D5" s="21"/>
      <c r="E5" s="21"/>
      <c r="F5" s="21"/>
      <c r="G5" s="21"/>
      <c r="H5" s="21"/>
      <c r="I5" s="21"/>
      <c r="J5" s="21"/>
    </row>
    <row r="6" spans="1:10">
      <c r="A6" s="18"/>
      <c r="B6" s="18"/>
      <c r="C6" s="18"/>
      <c r="D6" s="18"/>
      <c r="E6" s="18"/>
      <c r="F6" s="18"/>
      <c r="G6" s="18"/>
      <c r="H6" s="18"/>
      <c r="I6" s="18"/>
      <c r="J6" s="18"/>
    </row>
    <row r="7" spans="1:10">
      <c r="A7" s="4" t="s">
        <v>2</v>
      </c>
      <c r="B7" s="6" t="s">
        <v>3</v>
      </c>
      <c r="C7" s="18"/>
      <c r="D7" s="4" t="s">
        <v>4</v>
      </c>
      <c r="E7" s="5"/>
      <c r="F7" s="5"/>
      <c r="G7" s="5"/>
      <c r="H7" s="5"/>
      <c r="I7" s="5"/>
      <c r="J7" s="6"/>
    </row>
    <row r="8" spans="1:10">
      <c r="A8" s="22" t="s">
        <v>5</v>
      </c>
      <c r="B8" s="23">
        <v>20</v>
      </c>
      <c r="C8" s="18"/>
      <c r="D8" s="24" t="s">
        <v>6</v>
      </c>
      <c r="E8" s="24" t="s">
        <v>7</v>
      </c>
      <c r="F8" s="24"/>
      <c r="G8" s="24"/>
      <c r="H8" s="24"/>
      <c r="I8" s="24"/>
      <c r="J8" s="24"/>
    </row>
    <row r="9" spans="1:10">
      <c r="A9" s="25" t="s">
        <v>8</v>
      </c>
      <c r="B9" s="26">
        <v>12</v>
      </c>
      <c r="C9" s="18"/>
      <c r="D9" s="24" t="s">
        <v>9</v>
      </c>
      <c r="E9" s="24" t="s">
        <v>10</v>
      </c>
      <c r="F9" s="24"/>
      <c r="G9" s="24"/>
      <c r="H9" s="24"/>
      <c r="I9" s="24"/>
      <c r="J9" s="24"/>
    </row>
    <row r="10" spans="1:10">
      <c r="A10" s="25" t="s">
        <v>11</v>
      </c>
      <c r="B10" s="26">
        <v>8</v>
      </c>
      <c r="C10" s="18"/>
      <c r="D10" s="24" t="s">
        <v>12</v>
      </c>
      <c r="E10" s="24" t="s">
        <v>13</v>
      </c>
      <c r="F10" s="24"/>
      <c r="G10" s="24"/>
      <c r="H10" s="24"/>
      <c r="I10" s="24"/>
      <c r="J10" s="24"/>
    </row>
    <row r="11" spans="1:10">
      <c r="A11" s="25" t="s">
        <v>14</v>
      </c>
      <c r="B11" s="26">
        <f>COUNTA(人工复核!$F$7:$F$26)</f>
        <v>20</v>
      </c>
      <c r="C11" s="18"/>
      <c r="D11" s="24" t="s">
        <v>15</v>
      </c>
      <c r="E11" s="24" t="s">
        <v>16</v>
      </c>
      <c r="F11" s="24"/>
      <c r="G11" s="24"/>
      <c r="H11" s="24"/>
      <c r="I11" s="24"/>
      <c r="J11" s="24"/>
    </row>
    <row r="12" spans="1:10">
      <c r="A12" s="27" t="s">
        <v>17</v>
      </c>
      <c r="B12" s="28">
        <f>COUNTBLANK(人工复核!$F$7:$F$26)</f>
        <v>0</v>
      </c>
      <c r="C12" s="18"/>
      <c r="D12" s="24" t="s">
        <v>18</v>
      </c>
      <c r="E12" s="24" t="s">
        <v>19</v>
      </c>
      <c r="F12" s="24"/>
      <c r="G12" s="24"/>
      <c r="H12" s="24"/>
      <c r="I12" s="24"/>
      <c r="J12" s="24"/>
    </row>
    <row r="13" spans="1:10">
      <c r="A13" s="18"/>
      <c r="B13" s="18"/>
      <c r="C13" s="18"/>
      <c r="D13" s="18"/>
      <c r="E13" s="18"/>
      <c r="F13" s="18"/>
      <c r="G13" s="18"/>
      <c r="H13" s="18"/>
      <c r="I13" s="18"/>
      <c r="J13" s="18"/>
    </row>
    <row r="14" spans="1:10">
      <c r="A14" s="18"/>
      <c r="B14" s="18"/>
      <c r="C14" s="18"/>
      <c r="D14" s="18"/>
      <c r="E14" s="18"/>
      <c r="F14" s="18"/>
      <c r="G14" s="18"/>
      <c r="H14" s="18"/>
      <c r="I14" s="18"/>
      <c r="J14" s="18"/>
    </row>
    <row r="15" spans="1:10">
      <c r="A15" s="4" t="s">
        <v>20</v>
      </c>
      <c r="B15" s="5" t="s">
        <v>21</v>
      </c>
      <c r="C15" s="5" t="s">
        <v>22</v>
      </c>
      <c r="D15" s="5" t="s">
        <v>23</v>
      </c>
      <c r="E15" s="6" t="s">
        <v>24</v>
      </c>
      <c r="F15" s="18"/>
      <c r="G15" s="18"/>
      <c r="H15" s="18"/>
      <c r="I15" s="18"/>
      <c r="J15" s="18"/>
    </row>
    <row r="16" spans="1:10">
      <c r="A16" s="22" t="s">
        <v>25</v>
      </c>
      <c r="B16" s="29" t="s">
        <v>26</v>
      </c>
      <c r="C16" s="29">
        <v>1</v>
      </c>
      <c r="D16" s="29">
        <v>0</v>
      </c>
      <c r="E16" s="30">
        <f>COUNTIFS(人工复核!$F$7:$F$26,A16)</f>
        <v>0</v>
      </c>
      <c r="F16" s="18"/>
      <c r="G16" s="18"/>
      <c r="H16" s="18"/>
      <c r="I16" s="18"/>
      <c r="J16" s="18"/>
    </row>
    <row r="17" spans="1:10">
      <c r="A17" s="25" t="s">
        <v>27</v>
      </c>
      <c r="B17" s="31" t="s">
        <v>28</v>
      </c>
      <c r="C17" s="31">
        <v>0</v>
      </c>
      <c r="D17" s="31">
        <v>0</v>
      </c>
      <c r="E17" s="32">
        <f>COUNTIFS(人工复核!$F$7:$F$26,A17)</f>
        <v>0</v>
      </c>
      <c r="F17" s="18"/>
      <c r="G17" s="18"/>
      <c r="H17" s="18"/>
      <c r="I17" s="18"/>
      <c r="J17" s="18"/>
    </row>
    <row r="18" spans="1:10">
      <c r="A18" s="25" t="s">
        <v>29</v>
      </c>
      <c r="B18" s="31" t="s">
        <v>30</v>
      </c>
      <c r="C18" s="31">
        <v>0</v>
      </c>
      <c r="D18" s="31">
        <v>1</v>
      </c>
      <c r="E18" s="32">
        <f>COUNTIFS(人工复核!$F$7:$F$26,A18)</f>
        <v>1</v>
      </c>
      <c r="F18" s="18"/>
      <c r="G18" s="18"/>
      <c r="H18" s="18"/>
      <c r="I18" s="18"/>
      <c r="J18" s="18"/>
    </row>
    <row r="19" spans="1:10">
      <c r="A19" s="25" t="s">
        <v>31</v>
      </c>
      <c r="B19" s="31" t="s">
        <v>32</v>
      </c>
      <c r="C19" s="31">
        <v>0</v>
      </c>
      <c r="D19" s="31">
        <v>0</v>
      </c>
      <c r="E19" s="32">
        <f>COUNTIFS(人工复核!$F$7:$F$26,A19)</f>
        <v>0</v>
      </c>
      <c r="F19" s="18"/>
      <c r="G19" s="18"/>
      <c r="H19" s="18"/>
      <c r="I19" s="18"/>
      <c r="J19" s="18"/>
    </row>
    <row r="20" spans="1:10">
      <c r="A20" s="25" t="s">
        <v>33</v>
      </c>
      <c r="B20" s="31" t="s">
        <v>34</v>
      </c>
      <c r="C20" s="31">
        <v>0</v>
      </c>
      <c r="D20" s="31">
        <v>0</v>
      </c>
      <c r="E20" s="32">
        <f>COUNTIFS(人工复核!$F$7:$F$26,A20)</f>
        <v>0</v>
      </c>
      <c r="F20" s="18"/>
      <c r="G20" s="18"/>
      <c r="H20" s="18"/>
      <c r="I20" s="18"/>
      <c r="J20" s="18"/>
    </row>
    <row r="21" spans="1:10">
      <c r="A21" s="25" t="s">
        <v>35</v>
      </c>
      <c r="B21" s="31" t="s">
        <v>36</v>
      </c>
      <c r="C21" s="31">
        <v>0</v>
      </c>
      <c r="D21" s="31">
        <v>0</v>
      </c>
      <c r="E21" s="32">
        <f>COUNTIFS(人工复核!$F$7:$F$26,A21)</f>
        <v>0</v>
      </c>
      <c r="F21" s="18"/>
      <c r="G21" s="18"/>
      <c r="H21" s="18"/>
      <c r="I21" s="18"/>
      <c r="J21" s="18"/>
    </row>
    <row r="22" spans="1:10">
      <c r="A22" s="25" t="s">
        <v>37</v>
      </c>
      <c r="B22" s="31" t="s">
        <v>38</v>
      </c>
      <c r="C22" s="31">
        <v>2</v>
      </c>
      <c r="D22" s="31">
        <v>16</v>
      </c>
      <c r="E22" s="32">
        <f>COUNTIFS(人工复核!$F$7:$F$26,A22)</f>
        <v>16</v>
      </c>
      <c r="F22" s="18"/>
      <c r="G22" s="18"/>
      <c r="H22" s="18"/>
      <c r="I22" s="18"/>
      <c r="J22" s="18"/>
    </row>
    <row r="23" spans="1:10">
      <c r="A23" s="27" t="s">
        <v>39</v>
      </c>
      <c r="B23" s="33" t="s">
        <v>40</v>
      </c>
      <c r="C23" s="33">
        <v>17</v>
      </c>
      <c r="D23" s="33">
        <v>3</v>
      </c>
      <c r="E23" s="34">
        <f>COUNTIFS(人工复核!$F$7:$F$26,A23)</f>
        <v>3</v>
      </c>
      <c r="F23" s="18"/>
      <c r="G23" s="18"/>
      <c r="H23" s="18"/>
      <c r="I23" s="18"/>
      <c r="J23" s="18"/>
    </row>
    <row r="24" spans="1:10">
      <c r="A24" s="18"/>
      <c r="B24" s="18"/>
      <c r="C24" s="18"/>
      <c r="D24" s="18"/>
      <c r="E24" s="18"/>
      <c r="F24" s="18"/>
      <c r="G24" s="18"/>
      <c r="H24" s="18"/>
      <c r="I24" s="18"/>
      <c r="J24" s="18"/>
    </row>
    <row r="25" ht="42" customHeight="1" spans="1:10">
      <c r="A25" s="35" t="s">
        <v>41</v>
      </c>
      <c r="B25" s="35" t="s">
        <v>42</v>
      </c>
      <c r="C25" s="35" t="s">
        <v>43</v>
      </c>
      <c r="D25" s="35" t="s">
        <v>44</v>
      </c>
      <c r="E25" s="35" t="s">
        <v>45</v>
      </c>
      <c r="F25" s="35" t="s">
        <v>46</v>
      </c>
      <c r="G25" s="18"/>
      <c r="H25" s="18"/>
      <c r="I25" s="18"/>
      <c r="J25" s="18"/>
    </row>
    <row r="26" spans="1:10">
      <c r="A26" s="36"/>
      <c r="B26" s="36"/>
      <c r="C26" s="36"/>
      <c r="D26" s="36"/>
      <c r="E26" s="36"/>
      <c r="F26" s="36"/>
      <c r="G26" s="18"/>
      <c r="H26" s="18"/>
      <c r="I26" s="18"/>
      <c r="J26" s="18"/>
    </row>
    <row r="27" ht="38" customHeight="1" spans="1:10">
      <c r="A27" s="37" t="s">
        <v>47</v>
      </c>
      <c r="B27" s="37" t="s">
        <v>48</v>
      </c>
      <c r="C27" s="37" t="s">
        <v>49</v>
      </c>
      <c r="D27" s="37" t="s">
        <v>50</v>
      </c>
      <c r="E27" s="36"/>
      <c r="F27" s="36"/>
      <c r="G27" s="18"/>
      <c r="H27" s="18"/>
      <c r="I27" s="18"/>
      <c r="J27" s="18"/>
    </row>
    <row r="28" spans="1:10">
      <c r="A28" s="18"/>
      <c r="B28" s="18"/>
      <c r="C28" s="18"/>
      <c r="D28" s="18"/>
      <c r="E28" s="18"/>
      <c r="F28" s="18"/>
      <c r="G28" s="18"/>
      <c r="H28" s="18"/>
      <c r="I28" s="18"/>
      <c r="J28" s="18"/>
    </row>
    <row r="29" spans="1:10">
      <c r="A29" s="18"/>
      <c r="B29" s="18"/>
      <c r="C29" s="18"/>
      <c r="D29" s="18"/>
      <c r="E29" s="18"/>
      <c r="F29" s="18"/>
      <c r="G29" s="18"/>
      <c r="H29" s="18"/>
      <c r="I29" s="18"/>
      <c r="J29" s="18"/>
    </row>
    <row r="30" spans="1:10">
      <c r="A30" s="18"/>
      <c r="B30" s="18"/>
      <c r="C30" s="18"/>
      <c r="D30" s="18"/>
      <c r="E30" s="18"/>
      <c r="F30" s="18"/>
      <c r="G30" s="18"/>
      <c r="H30" s="18"/>
      <c r="I30" s="18"/>
      <c r="J30" s="18"/>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9BD5"/>
  </sheetPr>
  <dimension ref="A2:J26"/>
  <sheetViews>
    <sheetView showGridLines="0" workbookViewId="0">
      <pane xSplit="3" ySplit="6" topLeftCell="E24" activePane="bottomRight" state="frozen"/>
      <selection/>
      <selection pane="topRight"/>
      <selection pane="bottomLeft"/>
      <selection pane="bottomRight" activeCell="G24" sqref="G24"/>
    </sheetView>
  </sheetViews>
  <sheetFormatPr defaultColWidth="9" defaultRowHeight="14"/>
  <cols>
    <col min="1" max="2" width="9" customWidth="1"/>
    <col min="3" max="3" width="8.33333333333333" customWidth="1"/>
    <col min="4" max="4" width="19.1666666666667" customWidth="1"/>
    <col min="5" max="5" width="82" customWidth="1"/>
    <col min="6" max="6" width="13" customWidth="1"/>
    <col min="7" max="7" width="36" customWidth="1"/>
    <col min="8" max="8" width="9" customWidth="1"/>
    <col min="9" max="9" width="8" customWidth="1"/>
    <col min="10" max="10" width="22" customWidth="1"/>
  </cols>
  <sheetData>
    <row r="2" ht="19" spans="1:10">
      <c r="A2" s="1" t="s">
        <v>51</v>
      </c>
    </row>
    <row r="3" spans="1:10">
      <c r="A3" s="2"/>
      <c r="B3" s="2"/>
      <c r="C3" s="2"/>
      <c r="D3" s="2"/>
      <c r="E3" s="2"/>
      <c r="F3" s="2"/>
      <c r="G3" s="2"/>
      <c r="H3" s="2"/>
      <c r="I3" s="2"/>
      <c r="J3" s="2"/>
    </row>
    <row r="4" spans="1:10">
      <c r="A4" s="3" t="s">
        <v>52</v>
      </c>
      <c r="B4" s="3"/>
      <c r="C4" s="3"/>
      <c r="D4" s="3"/>
      <c r="E4" s="3"/>
      <c r="F4" s="3"/>
      <c r="G4" s="3"/>
      <c r="H4" s="3"/>
      <c r="I4" s="3"/>
      <c r="J4" s="3"/>
    </row>
    <row r="6" spans="1:10">
      <c r="A6" s="4" t="s">
        <v>53</v>
      </c>
      <c r="B6" s="5" t="s">
        <v>54</v>
      </c>
      <c r="C6" s="5" t="s">
        <v>55</v>
      </c>
      <c r="D6" s="5" t="s">
        <v>56</v>
      </c>
      <c r="E6" s="5" t="s">
        <v>57</v>
      </c>
      <c r="F6" s="5" t="s">
        <v>58</v>
      </c>
      <c r="G6" s="5" t="s">
        <v>59</v>
      </c>
      <c r="H6" s="5" t="s">
        <v>60</v>
      </c>
      <c r="I6" s="5" t="s">
        <v>61</v>
      </c>
      <c r="J6" s="6" t="s">
        <v>62</v>
      </c>
    </row>
    <row r="7" ht="96" customHeight="1" spans="1:10">
      <c r="A7" s="7" t="s">
        <v>63</v>
      </c>
      <c r="B7" s="7" t="s">
        <v>64</v>
      </c>
      <c r="C7" s="7" t="s">
        <v>65</v>
      </c>
      <c r="D7" s="8" t="s">
        <v>66</v>
      </c>
      <c r="E7" s="8" t="s">
        <v>67</v>
      </c>
      <c r="F7" s="13" t="s">
        <v>37</v>
      </c>
      <c r="G7" s="14"/>
      <c r="H7" s="7" t="s">
        <v>68</v>
      </c>
      <c r="I7" s="7">
        <v>2020</v>
      </c>
      <c r="J7" s="7" t="s">
        <v>69</v>
      </c>
    </row>
    <row r="8" ht="96" customHeight="1" spans="1:10">
      <c r="A8" s="9" t="s">
        <v>70</v>
      </c>
      <c r="B8" s="9" t="s">
        <v>11</v>
      </c>
      <c r="C8" s="9" t="s">
        <v>71</v>
      </c>
      <c r="D8" s="10" t="s">
        <v>72</v>
      </c>
      <c r="E8" s="10" t="s">
        <v>73</v>
      </c>
      <c r="F8" s="15" t="s">
        <v>37</v>
      </c>
      <c r="G8" s="16"/>
      <c r="H8" s="9" t="s">
        <v>68</v>
      </c>
      <c r="I8" s="9">
        <v>2025</v>
      </c>
      <c r="J8" s="9" t="s">
        <v>74</v>
      </c>
    </row>
    <row r="9" ht="96" customHeight="1" spans="1:10">
      <c r="A9" s="9" t="s">
        <v>75</v>
      </c>
      <c r="B9" s="9" t="s">
        <v>64</v>
      </c>
      <c r="C9" s="9" t="s">
        <v>76</v>
      </c>
      <c r="D9" s="10" t="s">
        <v>77</v>
      </c>
      <c r="E9" s="10" t="s">
        <v>78</v>
      </c>
      <c r="F9" s="15" t="s">
        <v>37</v>
      </c>
      <c r="G9" s="16"/>
      <c r="H9" s="9" t="s">
        <v>68</v>
      </c>
      <c r="I9" s="9">
        <v>2025</v>
      </c>
      <c r="J9" s="9" t="s">
        <v>79</v>
      </c>
    </row>
    <row r="10" ht="96" customHeight="1" spans="1:10">
      <c r="A10" s="9" t="s">
        <v>80</v>
      </c>
      <c r="B10" s="9" t="s">
        <v>64</v>
      </c>
      <c r="C10" s="9" t="s">
        <v>81</v>
      </c>
      <c r="D10" s="10" t="s">
        <v>82</v>
      </c>
      <c r="E10" s="10" t="s">
        <v>83</v>
      </c>
      <c r="F10" s="15" t="s">
        <v>37</v>
      </c>
      <c r="G10" s="16"/>
      <c r="H10" s="9" t="s">
        <v>84</v>
      </c>
      <c r="I10" s="9">
        <v>1974</v>
      </c>
      <c r="J10" s="9" t="s">
        <v>85</v>
      </c>
    </row>
    <row r="11" ht="96" customHeight="1" spans="1:10">
      <c r="A11" s="9" t="s">
        <v>86</v>
      </c>
      <c r="B11" s="9" t="s">
        <v>64</v>
      </c>
      <c r="C11" s="9" t="s">
        <v>87</v>
      </c>
      <c r="D11" s="10" t="s">
        <v>88</v>
      </c>
      <c r="E11" s="10" t="s">
        <v>89</v>
      </c>
      <c r="F11" s="15" t="s">
        <v>37</v>
      </c>
      <c r="G11" s="16"/>
      <c r="H11" s="9" t="s">
        <v>90</v>
      </c>
      <c r="I11" s="9"/>
      <c r="J11" s="9" t="s">
        <v>91</v>
      </c>
    </row>
    <row r="12" ht="96" customHeight="1" spans="1:10">
      <c r="A12" s="9" t="s">
        <v>92</v>
      </c>
      <c r="B12" s="9" t="s">
        <v>11</v>
      </c>
      <c r="C12" s="9" t="s">
        <v>93</v>
      </c>
      <c r="D12" s="10" t="s">
        <v>94</v>
      </c>
      <c r="E12" s="10" t="s">
        <v>95</v>
      </c>
      <c r="F12" s="15" t="s">
        <v>39</v>
      </c>
      <c r="G12" s="17" t="s">
        <v>96</v>
      </c>
      <c r="H12" s="9" t="s">
        <v>68</v>
      </c>
      <c r="I12" s="9">
        <v>1991</v>
      </c>
      <c r="J12" s="9" t="s">
        <v>97</v>
      </c>
    </row>
    <row r="13" ht="96" customHeight="1" spans="1:10">
      <c r="A13" s="9" t="s">
        <v>98</v>
      </c>
      <c r="B13" s="9" t="s">
        <v>64</v>
      </c>
      <c r="C13" s="9" t="s">
        <v>99</v>
      </c>
      <c r="D13" s="10" t="s">
        <v>100</v>
      </c>
      <c r="E13" s="10" t="s">
        <v>101</v>
      </c>
      <c r="F13" s="15" t="s">
        <v>37</v>
      </c>
      <c r="G13" s="16"/>
      <c r="H13" s="9" t="s">
        <v>68</v>
      </c>
      <c r="I13" s="9">
        <v>2024</v>
      </c>
      <c r="J13" s="9" t="s">
        <v>102</v>
      </c>
    </row>
    <row r="14" ht="96" customHeight="1" spans="1:10">
      <c r="A14" s="9" t="s">
        <v>103</v>
      </c>
      <c r="B14" s="9" t="s">
        <v>64</v>
      </c>
      <c r="C14" s="9" t="s">
        <v>104</v>
      </c>
      <c r="D14" s="10" t="s">
        <v>105</v>
      </c>
      <c r="E14" s="10" t="s">
        <v>95</v>
      </c>
      <c r="F14" s="15" t="s">
        <v>37</v>
      </c>
      <c r="G14" s="16"/>
      <c r="H14" s="9" t="s">
        <v>90</v>
      </c>
      <c r="I14" s="9">
        <v>2024</v>
      </c>
      <c r="J14" s="9" t="s">
        <v>106</v>
      </c>
    </row>
    <row r="15" ht="96" customHeight="1" spans="1:10">
      <c r="A15" s="9" t="s">
        <v>107</v>
      </c>
      <c r="B15" s="9" t="s">
        <v>11</v>
      </c>
      <c r="C15" s="9" t="s">
        <v>108</v>
      </c>
      <c r="D15" s="10" t="s">
        <v>109</v>
      </c>
      <c r="E15" s="10" t="s">
        <v>110</v>
      </c>
      <c r="F15" s="15" t="s">
        <v>37</v>
      </c>
      <c r="G15" s="16"/>
      <c r="H15" s="9" t="s">
        <v>111</v>
      </c>
      <c r="I15" s="9">
        <v>2016</v>
      </c>
      <c r="J15" s="9" t="s">
        <v>112</v>
      </c>
    </row>
    <row r="16" ht="96" customHeight="1" spans="1:10">
      <c r="A16" s="9" t="s">
        <v>113</v>
      </c>
      <c r="B16" s="9" t="s">
        <v>64</v>
      </c>
      <c r="C16" s="9" t="s">
        <v>114</v>
      </c>
      <c r="D16" s="10" t="s">
        <v>115</v>
      </c>
      <c r="E16" s="10" t="s">
        <v>116</v>
      </c>
      <c r="F16" s="15" t="s">
        <v>39</v>
      </c>
      <c r="G16" s="17" t="s">
        <v>117</v>
      </c>
      <c r="H16" s="9" t="s">
        <v>118</v>
      </c>
      <c r="I16" s="9">
        <v>1997</v>
      </c>
      <c r="J16" s="9" t="s">
        <v>119</v>
      </c>
    </row>
    <row r="17" ht="96" customHeight="1" spans="1:10">
      <c r="A17" s="9" t="s">
        <v>120</v>
      </c>
      <c r="B17" s="9" t="s">
        <v>11</v>
      </c>
      <c r="C17" s="9" t="s">
        <v>121</v>
      </c>
      <c r="D17" s="10" t="s">
        <v>122</v>
      </c>
      <c r="E17" s="10" t="s">
        <v>123</v>
      </c>
      <c r="F17" s="15" t="s">
        <v>37</v>
      </c>
      <c r="G17" s="16"/>
      <c r="H17" s="9" t="s">
        <v>124</v>
      </c>
      <c r="I17" s="9">
        <v>2021</v>
      </c>
      <c r="J17" s="9" t="s">
        <v>125</v>
      </c>
    </row>
    <row r="18" ht="96" customHeight="1" spans="1:10">
      <c r="A18" s="9" t="s">
        <v>126</v>
      </c>
      <c r="B18" s="9" t="s">
        <v>11</v>
      </c>
      <c r="C18" s="9" t="s">
        <v>127</v>
      </c>
      <c r="D18" s="10" t="s">
        <v>128</v>
      </c>
      <c r="E18" s="10" t="s">
        <v>129</v>
      </c>
      <c r="F18" s="15" t="s">
        <v>37</v>
      </c>
      <c r="G18" s="16"/>
      <c r="H18" s="9" t="s">
        <v>68</v>
      </c>
      <c r="I18" s="9">
        <v>2009</v>
      </c>
      <c r="J18" s="9" t="s">
        <v>130</v>
      </c>
    </row>
    <row r="19" ht="96" customHeight="1" spans="1:10">
      <c r="A19" s="9" t="s">
        <v>131</v>
      </c>
      <c r="B19" s="9" t="s">
        <v>64</v>
      </c>
      <c r="C19" s="9" t="s">
        <v>132</v>
      </c>
      <c r="D19" s="10" t="s">
        <v>133</v>
      </c>
      <c r="E19" s="10" t="s">
        <v>134</v>
      </c>
      <c r="F19" s="15" t="s">
        <v>37</v>
      </c>
      <c r="G19" s="16"/>
      <c r="H19" s="9" t="s">
        <v>124</v>
      </c>
      <c r="I19" s="9">
        <v>2021</v>
      </c>
      <c r="J19" s="9" t="s">
        <v>135</v>
      </c>
    </row>
    <row r="20" ht="96" customHeight="1" spans="1:10">
      <c r="A20" s="9" t="s">
        <v>136</v>
      </c>
      <c r="B20" s="9" t="s">
        <v>11</v>
      </c>
      <c r="C20" s="9" t="s">
        <v>137</v>
      </c>
      <c r="D20" s="10" t="s">
        <v>138</v>
      </c>
      <c r="E20" s="10" t="s">
        <v>95</v>
      </c>
      <c r="F20" s="15" t="s">
        <v>39</v>
      </c>
      <c r="G20" s="17" t="s">
        <v>139</v>
      </c>
      <c r="H20" s="9" t="s">
        <v>68</v>
      </c>
      <c r="I20" s="9">
        <v>1994</v>
      </c>
      <c r="J20" s="9" t="s">
        <v>140</v>
      </c>
    </row>
    <row r="21" ht="96" customHeight="1" spans="1:10">
      <c r="A21" s="9" t="s">
        <v>141</v>
      </c>
      <c r="B21" s="9" t="s">
        <v>64</v>
      </c>
      <c r="C21" s="9" t="s">
        <v>142</v>
      </c>
      <c r="D21" s="10" t="s">
        <v>143</v>
      </c>
      <c r="E21" s="10" t="s">
        <v>144</v>
      </c>
      <c r="F21" s="15" t="s">
        <v>37</v>
      </c>
      <c r="G21" s="16"/>
      <c r="H21" s="9" t="s">
        <v>68</v>
      </c>
      <c r="I21" s="9">
        <v>2019</v>
      </c>
      <c r="J21" s="9" t="s">
        <v>145</v>
      </c>
    </row>
    <row r="22" ht="96" customHeight="1" spans="1:10">
      <c r="A22" s="9" t="s">
        <v>146</v>
      </c>
      <c r="B22" s="9" t="s">
        <v>64</v>
      </c>
      <c r="C22" s="9" t="s">
        <v>147</v>
      </c>
      <c r="D22" s="10" t="s">
        <v>148</v>
      </c>
      <c r="E22" s="10" t="s">
        <v>149</v>
      </c>
      <c r="F22" s="15" t="s">
        <v>37</v>
      </c>
      <c r="G22" s="16"/>
      <c r="H22" s="9" t="s">
        <v>68</v>
      </c>
      <c r="I22" s="9">
        <v>1984</v>
      </c>
      <c r="J22" s="9" t="s">
        <v>150</v>
      </c>
    </row>
    <row r="23" ht="96" customHeight="1" spans="1:10">
      <c r="A23" s="9" t="s">
        <v>151</v>
      </c>
      <c r="B23" s="9" t="s">
        <v>64</v>
      </c>
      <c r="C23" s="9" t="s">
        <v>152</v>
      </c>
      <c r="D23" s="10" t="s">
        <v>153</v>
      </c>
      <c r="E23" s="10" t="s">
        <v>154</v>
      </c>
      <c r="F23" s="15" t="s">
        <v>37</v>
      </c>
      <c r="G23" s="16"/>
      <c r="H23" s="9" t="s">
        <v>68</v>
      </c>
      <c r="I23" s="9">
        <v>1982</v>
      </c>
      <c r="J23" s="9" t="s">
        <v>155</v>
      </c>
    </row>
    <row r="24" ht="96" customHeight="1" spans="1:10">
      <c r="A24" s="9" t="s">
        <v>156</v>
      </c>
      <c r="B24" s="9" t="s">
        <v>11</v>
      </c>
      <c r="C24" s="9" t="s">
        <v>157</v>
      </c>
      <c r="D24" s="10" t="s">
        <v>158</v>
      </c>
      <c r="E24" s="10" t="s">
        <v>159</v>
      </c>
      <c r="F24" s="15" t="s">
        <v>29</v>
      </c>
      <c r="G24" s="17" t="s">
        <v>160</v>
      </c>
      <c r="H24" s="9" t="s">
        <v>68</v>
      </c>
      <c r="I24" s="9">
        <v>2025</v>
      </c>
      <c r="J24" s="9" t="s">
        <v>161</v>
      </c>
    </row>
    <row r="25" ht="96" customHeight="1" spans="1:10">
      <c r="A25" s="9" t="s">
        <v>162</v>
      </c>
      <c r="B25" s="9" t="s">
        <v>64</v>
      </c>
      <c r="C25" s="9" t="s">
        <v>163</v>
      </c>
      <c r="D25" s="10" t="s">
        <v>164</v>
      </c>
      <c r="E25" s="10" t="s">
        <v>165</v>
      </c>
      <c r="F25" s="15" t="s">
        <v>37</v>
      </c>
      <c r="G25" s="16"/>
      <c r="H25" s="9" t="s">
        <v>84</v>
      </c>
      <c r="I25" s="9">
        <v>2009</v>
      </c>
      <c r="J25" s="9" t="s">
        <v>166</v>
      </c>
    </row>
    <row r="26" ht="96" customHeight="1" spans="1:10">
      <c r="A26" s="9" t="s">
        <v>167</v>
      </c>
      <c r="B26" s="9" t="s">
        <v>11</v>
      </c>
      <c r="C26" s="9" t="s">
        <v>168</v>
      </c>
      <c r="D26" s="10" t="s">
        <v>169</v>
      </c>
      <c r="E26" s="10" t="s">
        <v>170</v>
      </c>
      <c r="F26" s="15" t="s">
        <v>37</v>
      </c>
      <c r="G26" s="16"/>
      <c r="H26" s="9" t="s">
        <v>68</v>
      </c>
      <c r="I26" s="9">
        <v>2005</v>
      </c>
      <c r="J26" s="9" t="s">
        <v>171</v>
      </c>
    </row>
  </sheetData>
  <dataValidations count="1">
    <dataValidation type="list" sqref="F7:F26">
      <formula1>"A,B,C,D,E,R,X,U"</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6A6A6"/>
  </sheetPr>
  <dimension ref="A2:K26"/>
  <sheetViews>
    <sheetView showGridLines="0" tabSelected="1" workbookViewId="0">
      <pane xSplit="2" ySplit="6" topLeftCell="C7" activePane="bottomRight" state="frozen"/>
      <selection/>
      <selection pane="topRight"/>
      <selection pane="bottomLeft"/>
      <selection pane="bottomRight" activeCell="A1" sqref="A1"/>
    </sheetView>
  </sheetViews>
  <sheetFormatPr defaultColWidth="9" defaultRowHeight="14"/>
  <cols>
    <col min="1" max="1" width="9" customWidth="1"/>
    <col min="2" max="2" width="10" customWidth="1"/>
    <col min="3" max="3" width="46" customWidth="1"/>
    <col min="4" max="5" width="12" customWidth="1"/>
    <col min="6" max="6" width="38" customWidth="1"/>
    <col min="7" max="7" width="14" customWidth="1"/>
    <col min="8" max="8" width="42" customWidth="1"/>
    <col min="9" max="10" width="13" customWidth="1"/>
    <col min="11" max="11" width="28" customWidth="1"/>
  </cols>
  <sheetData>
    <row r="2" ht="19" spans="1:11">
      <c r="A2" s="1" t="s">
        <v>172</v>
      </c>
    </row>
    <row r="3" spans="1:11">
      <c r="A3" s="2"/>
      <c r="B3" s="2"/>
      <c r="C3" s="2"/>
      <c r="D3" s="2"/>
      <c r="E3" s="2"/>
      <c r="F3" s="2"/>
      <c r="G3" s="2"/>
      <c r="H3" s="2"/>
      <c r="I3" s="2"/>
      <c r="J3" s="2"/>
      <c r="K3" s="2"/>
    </row>
    <row r="4" spans="1:11">
      <c r="A4" s="3" t="s">
        <v>173</v>
      </c>
      <c r="B4" s="3"/>
      <c r="C4" s="3"/>
      <c r="D4" s="3"/>
      <c r="E4" s="3"/>
      <c r="F4" s="3"/>
      <c r="G4" s="3"/>
      <c r="H4" s="3"/>
      <c r="I4" s="3"/>
      <c r="J4" s="3"/>
      <c r="K4" s="3"/>
    </row>
    <row r="6" spans="1:11">
      <c r="A6" s="4" t="s">
        <v>53</v>
      </c>
      <c r="B6" s="5" t="s">
        <v>55</v>
      </c>
      <c r="C6" s="5" t="s">
        <v>56</v>
      </c>
      <c r="D6" s="5" t="s">
        <v>22</v>
      </c>
      <c r="E6" s="5" t="s">
        <v>23</v>
      </c>
      <c r="F6" s="5" t="s">
        <v>174</v>
      </c>
      <c r="G6" s="5" t="s">
        <v>175</v>
      </c>
      <c r="H6" s="5" t="s">
        <v>176</v>
      </c>
      <c r="I6" s="5" t="s">
        <v>58</v>
      </c>
      <c r="J6" s="5" t="s">
        <v>177</v>
      </c>
      <c r="K6" s="6" t="s">
        <v>178</v>
      </c>
    </row>
    <row r="7" ht="78" customHeight="1" spans="1:11">
      <c r="A7" s="7" t="s">
        <v>63</v>
      </c>
      <c r="B7" s="7" t="s">
        <v>65</v>
      </c>
      <c r="C7" s="8" t="s">
        <v>66</v>
      </c>
      <c r="D7" s="11" t="s">
        <v>39</v>
      </c>
      <c r="E7" s="11" t="s">
        <v>37</v>
      </c>
      <c r="F7" s="8" t="s">
        <v>179</v>
      </c>
      <c r="G7" s="11" t="s">
        <v>37</v>
      </c>
      <c r="H7" s="8" t="s">
        <v>180</v>
      </c>
      <c r="I7" s="11" t="str">
        <f>IF(人工复核!F7="","",人工复核!F7)</f>
        <v>X</v>
      </c>
      <c r="J7" s="11" t="str">
        <f t="shared" ref="J7:J26" si="0">IF(I7="","待填写",IF(I7=E7,"一致","不一致"))</f>
        <v>一致</v>
      </c>
      <c r="K7" s="8" t="s">
        <v>181</v>
      </c>
    </row>
    <row r="8" ht="78" customHeight="1" spans="1:11">
      <c r="A8" s="9" t="s">
        <v>70</v>
      </c>
      <c r="B8" s="9" t="s">
        <v>71</v>
      </c>
      <c r="C8" s="10" t="s">
        <v>72</v>
      </c>
      <c r="D8" s="12" t="s">
        <v>39</v>
      </c>
      <c r="E8" s="12" t="s">
        <v>37</v>
      </c>
      <c r="F8" s="10" t="s">
        <v>182</v>
      </c>
      <c r="G8" s="12" t="s">
        <v>37</v>
      </c>
      <c r="H8" s="10" t="s">
        <v>183</v>
      </c>
      <c r="I8" s="12" t="str">
        <f>IF(人工复核!F8="","",人工复核!F8)</f>
        <v>X</v>
      </c>
      <c r="J8" s="12" t="str">
        <f t="shared" si="0"/>
        <v>一致</v>
      </c>
      <c r="K8" s="10" t="s">
        <v>184</v>
      </c>
    </row>
    <row r="9" ht="78" customHeight="1" spans="1:11">
      <c r="A9" s="9" t="s">
        <v>75</v>
      </c>
      <c r="B9" s="9" t="s">
        <v>76</v>
      </c>
      <c r="C9" s="10" t="s">
        <v>77</v>
      </c>
      <c r="D9" s="12" t="s">
        <v>37</v>
      </c>
      <c r="E9" s="12" t="s">
        <v>37</v>
      </c>
      <c r="F9" s="10" t="s">
        <v>179</v>
      </c>
      <c r="G9" s="12" t="s">
        <v>37</v>
      </c>
      <c r="H9" s="10" t="s">
        <v>185</v>
      </c>
      <c r="I9" s="12" t="str">
        <f>IF(人工复核!F9="","",人工复核!F9)</f>
        <v>X</v>
      </c>
      <c r="J9" s="12" t="str">
        <f t="shared" si="0"/>
        <v>一致</v>
      </c>
      <c r="K9" s="10" t="s">
        <v>181</v>
      </c>
    </row>
    <row r="10" ht="78" customHeight="1" spans="1:11">
      <c r="A10" s="9" t="s">
        <v>80</v>
      </c>
      <c r="B10" s="9" t="s">
        <v>81</v>
      </c>
      <c r="C10" s="10" t="s">
        <v>82</v>
      </c>
      <c r="D10" s="12" t="s">
        <v>39</v>
      </c>
      <c r="E10" s="12" t="s">
        <v>37</v>
      </c>
      <c r="F10" s="10" t="s">
        <v>182</v>
      </c>
      <c r="G10" s="12" t="s">
        <v>37</v>
      </c>
      <c r="H10" s="10" t="s">
        <v>186</v>
      </c>
      <c r="I10" s="12" t="str">
        <f>IF(人工复核!F10="","",人工复核!F10)</f>
        <v>X</v>
      </c>
      <c r="J10" s="12" t="str">
        <f t="shared" si="0"/>
        <v>一致</v>
      </c>
      <c r="K10" s="10" t="s">
        <v>181</v>
      </c>
    </row>
    <row r="11" ht="78" customHeight="1" spans="1:11">
      <c r="A11" s="9" t="s">
        <v>86</v>
      </c>
      <c r="B11" s="9" t="s">
        <v>87</v>
      </c>
      <c r="C11" s="10" t="s">
        <v>88</v>
      </c>
      <c r="D11" s="12" t="s">
        <v>39</v>
      </c>
      <c r="E11" s="12" t="s">
        <v>37</v>
      </c>
      <c r="F11" s="10" t="s">
        <v>179</v>
      </c>
      <c r="G11" s="12" t="s">
        <v>37</v>
      </c>
      <c r="H11" s="10" t="s">
        <v>187</v>
      </c>
      <c r="I11" s="12" t="str">
        <f>IF(人工复核!F11="","",人工复核!F11)</f>
        <v>X</v>
      </c>
      <c r="J11" s="12" t="str">
        <f t="shared" si="0"/>
        <v>一致</v>
      </c>
      <c r="K11" s="10" t="s">
        <v>181</v>
      </c>
    </row>
    <row r="12" ht="78" customHeight="1" spans="1:11">
      <c r="A12" s="9" t="s">
        <v>92</v>
      </c>
      <c r="B12" s="9" t="s">
        <v>93</v>
      </c>
      <c r="C12" s="10" t="s">
        <v>94</v>
      </c>
      <c r="D12" s="12" t="s">
        <v>39</v>
      </c>
      <c r="E12" s="12" t="s">
        <v>39</v>
      </c>
      <c r="F12" s="10" t="s">
        <v>188</v>
      </c>
      <c r="G12" s="12" t="s">
        <v>39</v>
      </c>
      <c r="H12" s="10" t="s">
        <v>189</v>
      </c>
      <c r="I12" s="12" t="str">
        <f>IF(人工复核!F12="","",人工复核!F12)</f>
        <v>U</v>
      </c>
      <c r="J12" s="12" t="str">
        <f t="shared" si="0"/>
        <v>一致</v>
      </c>
      <c r="K12" s="10" t="s">
        <v>190</v>
      </c>
    </row>
    <row r="13" ht="78" customHeight="1" spans="1:11">
      <c r="A13" s="9" t="s">
        <v>98</v>
      </c>
      <c r="B13" s="9" t="s">
        <v>99</v>
      </c>
      <c r="C13" s="10" t="s">
        <v>100</v>
      </c>
      <c r="D13" s="12" t="s">
        <v>39</v>
      </c>
      <c r="E13" s="12" t="s">
        <v>37</v>
      </c>
      <c r="F13" s="10" t="s">
        <v>182</v>
      </c>
      <c r="G13" s="12" t="s">
        <v>37</v>
      </c>
      <c r="H13" s="10" t="s">
        <v>191</v>
      </c>
      <c r="I13" s="12" t="str">
        <f>IF(人工复核!F13="","",人工复核!F13)</f>
        <v>X</v>
      </c>
      <c r="J13" s="12" t="str">
        <f t="shared" si="0"/>
        <v>一致</v>
      </c>
      <c r="K13" s="10" t="s">
        <v>181</v>
      </c>
    </row>
    <row r="14" ht="78" customHeight="1" spans="1:11">
      <c r="A14" s="9" t="s">
        <v>103</v>
      </c>
      <c r="B14" s="9" t="s">
        <v>104</v>
      </c>
      <c r="C14" s="10" t="s">
        <v>105</v>
      </c>
      <c r="D14" s="12" t="s">
        <v>39</v>
      </c>
      <c r="E14" s="12" t="s">
        <v>37</v>
      </c>
      <c r="F14" s="10" t="s">
        <v>192</v>
      </c>
      <c r="G14" s="12" t="s">
        <v>37</v>
      </c>
      <c r="H14" s="10" t="s">
        <v>193</v>
      </c>
      <c r="I14" s="12" t="str">
        <f>IF(人工复核!F14="","",人工复核!F14)</f>
        <v>X</v>
      </c>
      <c r="J14" s="12" t="str">
        <f t="shared" si="0"/>
        <v>一致</v>
      </c>
      <c r="K14" s="10" t="s">
        <v>181</v>
      </c>
    </row>
    <row r="15" ht="78" customHeight="1" spans="1:11">
      <c r="A15" s="9" t="s">
        <v>107</v>
      </c>
      <c r="B15" s="9" t="s">
        <v>108</v>
      </c>
      <c r="C15" s="10" t="s">
        <v>109</v>
      </c>
      <c r="D15" s="12" t="s">
        <v>39</v>
      </c>
      <c r="E15" s="12" t="s">
        <v>37</v>
      </c>
      <c r="F15" s="10" t="s">
        <v>179</v>
      </c>
      <c r="G15" s="12" t="s">
        <v>37</v>
      </c>
      <c r="H15" s="10" t="s">
        <v>194</v>
      </c>
      <c r="I15" s="12" t="str">
        <f>IF(人工复核!F15="","",人工复核!F15)</f>
        <v>X</v>
      </c>
      <c r="J15" s="12" t="str">
        <f t="shared" si="0"/>
        <v>一致</v>
      </c>
      <c r="K15" s="10" t="s">
        <v>195</v>
      </c>
    </row>
    <row r="16" ht="78" customHeight="1" spans="1:11">
      <c r="A16" s="9" t="s">
        <v>113</v>
      </c>
      <c r="B16" s="9" t="s">
        <v>114</v>
      </c>
      <c r="C16" s="10" t="s">
        <v>115</v>
      </c>
      <c r="D16" s="12" t="s">
        <v>39</v>
      </c>
      <c r="E16" s="12" t="s">
        <v>39</v>
      </c>
      <c r="F16" s="10" t="s">
        <v>196</v>
      </c>
      <c r="G16" s="12" t="s">
        <v>39</v>
      </c>
      <c r="H16" s="10" t="s">
        <v>197</v>
      </c>
      <c r="I16" s="12" t="str">
        <f>IF(人工复核!F16="","",人工复核!F16)</f>
        <v>U</v>
      </c>
      <c r="J16" s="12" t="str">
        <f t="shared" si="0"/>
        <v>一致</v>
      </c>
      <c r="K16" s="10" t="s">
        <v>181</v>
      </c>
    </row>
    <row r="17" ht="78" customHeight="1" spans="1:11">
      <c r="A17" s="9" t="s">
        <v>120</v>
      </c>
      <c r="B17" s="9" t="s">
        <v>121</v>
      </c>
      <c r="C17" s="10" t="s">
        <v>122</v>
      </c>
      <c r="D17" s="12" t="s">
        <v>39</v>
      </c>
      <c r="E17" s="12" t="s">
        <v>37</v>
      </c>
      <c r="F17" s="10" t="s">
        <v>182</v>
      </c>
      <c r="G17" s="12" t="s">
        <v>37</v>
      </c>
      <c r="H17" s="10" t="s">
        <v>198</v>
      </c>
      <c r="I17" s="12" t="str">
        <f>IF(人工复核!F17="","",人工复核!F17)</f>
        <v>X</v>
      </c>
      <c r="J17" s="12" t="str">
        <f t="shared" si="0"/>
        <v>一致</v>
      </c>
      <c r="K17" s="10" t="s">
        <v>199</v>
      </c>
    </row>
    <row r="18" ht="78" customHeight="1" spans="1:11">
      <c r="A18" s="9" t="s">
        <v>126</v>
      </c>
      <c r="B18" s="9" t="s">
        <v>127</v>
      </c>
      <c r="C18" s="10" t="s">
        <v>128</v>
      </c>
      <c r="D18" s="12" t="s">
        <v>39</v>
      </c>
      <c r="E18" s="12" t="s">
        <v>37</v>
      </c>
      <c r="F18" s="10" t="s">
        <v>182</v>
      </c>
      <c r="G18" s="12" t="s">
        <v>37</v>
      </c>
      <c r="H18" s="10" t="s">
        <v>200</v>
      </c>
      <c r="I18" s="12" t="str">
        <f>IF(人工复核!F18="","",人工复核!F18)</f>
        <v>X</v>
      </c>
      <c r="J18" s="12" t="str">
        <f t="shared" si="0"/>
        <v>一致</v>
      </c>
      <c r="K18" s="10" t="s">
        <v>201</v>
      </c>
    </row>
    <row r="19" ht="78" customHeight="1" spans="1:11">
      <c r="A19" s="9" t="s">
        <v>131</v>
      </c>
      <c r="B19" s="9" t="s">
        <v>132</v>
      </c>
      <c r="C19" s="10" t="s">
        <v>133</v>
      </c>
      <c r="D19" s="12" t="s">
        <v>39</v>
      </c>
      <c r="E19" s="12" t="s">
        <v>37</v>
      </c>
      <c r="F19" s="10" t="s">
        <v>179</v>
      </c>
      <c r="G19" s="12" t="s">
        <v>37</v>
      </c>
      <c r="H19" s="10" t="s">
        <v>202</v>
      </c>
      <c r="I19" s="12" t="str">
        <f>IF(人工复核!F19="","",人工复核!F19)</f>
        <v>X</v>
      </c>
      <c r="J19" s="12" t="str">
        <f t="shared" si="0"/>
        <v>一致</v>
      </c>
      <c r="K19" s="10" t="s">
        <v>181</v>
      </c>
    </row>
    <row r="20" ht="78" customHeight="1" spans="1:11">
      <c r="A20" s="9" t="s">
        <v>136</v>
      </c>
      <c r="B20" s="9" t="s">
        <v>137</v>
      </c>
      <c r="C20" s="10" t="s">
        <v>138</v>
      </c>
      <c r="D20" s="12" t="s">
        <v>39</v>
      </c>
      <c r="E20" s="12" t="s">
        <v>39</v>
      </c>
      <c r="F20" s="10" t="s">
        <v>188</v>
      </c>
      <c r="G20" s="12" t="s">
        <v>39</v>
      </c>
      <c r="H20" s="10" t="s">
        <v>203</v>
      </c>
      <c r="I20" s="12" t="str">
        <f>IF(人工复核!F20="","",人工复核!F20)</f>
        <v>U</v>
      </c>
      <c r="J20" s="12" t="str">
        <f t="shared" si="0"/>
        <v>一致</v>
      </c>
      <c r="K20" s="10" t="s">
        <v>204</v>
      </c>
    </row>
    <row r="21" ht="78" customHeight="1" spans="1:11">
      <c r="A21" s="9" t="s">
        <v>141</v>
      </c>
      <c r="B21" s="9" t="s">
        <v>142</v>
      </c>
      <c r="C21" s="10" t="s">
        <v>143</v>
      </c>
      <c r="D21" s="12" t="s">
        <v>39</v>
      </c>
      <c r="E21" s="12" t="s">
        <v>37</v>
      </c>
      <c r="F21" s="10" t="s">
        <v>182</v>
      </c>
      <c r="G21" s="12" t="s">
        <v>37</v>
      </c>
      <c r="H21" s="10" t="s">
        <v>205</v>
      </c>
      <c r="I21" s="12" t="str">
        <f>IF(人工复核!F21="","",人工复核!F21)</f>
        <v>X</v>
      </c>
      <c r="J21" s="12" t="str">
        <f t="shared" si="0"/>
        <v>一致</v>
      </c>
      <c r="K21" s="10" t="s">
        <v>181</v>
      </c>
    </row>
    <row r="22" ht="78" customHeight="1" spans="1:11">
      <c r="A22" s="9" t="s">
        <v>146</v>
      </c>
      <c r="B22" s="9" t="s">
        <v>147</v>
      </c>
      <c r="C22" s="10" t="s">
        <v>148</v>
      </c>
      <c r="D22" s="12" t="s">
        <v>39</v>
      </c>
      <c r="E22" s="12" t="s">
        <v>37</v>
      </c>
      <c r="F22" s="10" t="s">
        <v>179</v>
      </c>
      <c r="G22" s="12" t="s">
        <v>37</v>
      </c>
      <c r="H22" s="10" t="s">
        <v>206</v>
      </c>
      <c r="I22" s="12" t="str">
        <f>IF(人工复核!F22="","",人工复核!F22)</f>
        <v>X</v>
      </c>
      <c r="J22" s="12" t="str">
        <f t="shared" si="0"/>
        <v>一致</v>
      </c>
      <c r="K22" s="10" t="s">
        <v>181</v>
      </c>
    </row>
    <row r="23" ht="78" customHeight="1" spans="1:11">
      <c r="A23" s="9" t="s">
        <v>151</v>
      </c>
      <c r="B23" s="9" t="s">
        <v>152</v>
      </c>
      <c r="C23" s="10" t="s">
        <v>153</v>
      </c>
      <c r="D23" s="12" t="s">
        <v>37</v>
      </c>
      <c r="E23" s="12" t="s">
        <v>37</v>
      </c>
      <c r="F23" s="10" t="s">
        <v>182</v>
      </c>
      <c r="G23" s="12" t="s">
        <v>37</v>
      </c>
      <c r="H23" s="10" t="s">
        <v>207</v>
      </c>
      <c r="I23" s="12" t="str">
        <f>IF(人工复核!F23="","",人工复核!F23)</f>
        <v>X</v>
      </c>
      <c r="J23" s="12" t="str">
        <f t="shared" si="0"/>
        <v>一致</v>
      </c>
      <c r="K23" s="10" t="s">
        <v>181</v>
      </c>
    </row>
    <row r="24" ht="78" customHeight="1" spans="1:11">
      <c r="A24" s="9" t="s">
        <v>156</v>
      </c>
      <c r="B24" s="9" t="s">
        <v>157</v>
      </c>
      <c r="C24" s="10" t="s">
        <v>158</v>
      </c>
      <c r="D24" s="12" t="s">
        <v>25</v>
      </c>
      <c r="E24" s="12" t="s">
        <v>29</v>
      </c>
      <c r="F24" s="10" t="s">
        <v>208</v>
      </c>
      <c r="G24" s="12" t="s">
        <v>29</v>
      </c>
      <c r="H24" s="10" t="s">
        <v>209</v>
      </c>
      <c r="I24" s="12" t="str">
        <f>IF(人工复核!F24="","",人工复核!F24)</f>
        <v>C</v>
      </c>
      <c r="J24" s="12" t="str">
        <f t="shared" si="0"/>
        <v>一致</v>
      </c>
      <c r="K24" s="10" t="s">
        <v>210</v>
      </c>
    </row>
    <row r="25" ht="78" customHeight="1" spans="1:11">
      <c r="A25" s="9" t="s">
        <v>162</v>
      </c>
      <c r="B25" s="9" t="s">
        <v>163</v>
      </c>
      <c r="C25" s="10" t="s">
        <v>164</v>
      </c>
      <c r="D25" s="12" t="s">
        <v>39</v>
      </c>
      <c r="E25" s="12" t="s">
        <v>37</v>
      </c>
      <c r="F25" s="10" t="s">
        <v>182</v>
      </c>
      <c r="G25" s="12" t="s">
        <v>37</v>
      </c>
      <c r="H25" s="10" t="s">
        <v>211</v>
      </c>
      <c r="I25" s="12" t="str">
        <f>IF(人工复核!F25="","",人工复核!F25)</f>
        <v>X</v>
      </c>
      <c r="J25" s="12" t="str">
        <f t="shared" si="0"/>
        <v>一致</v>
      </c>
      <c r="K25" s="10" t="s">
        <v>181</v>
      </c>
    </row>
    <row r="26" ht="78" customHeight="1" spans="1:11">
      <c r="A26" s="9" t="s">
        <v>167</v>
      </c>
      <c r="B26" s="9" t="s">
        <v>168</v>
      </c>
      <c r="C26" s="10" t="s">
        <v>169</v>
      </c>
      <c r="D26" s="12" t="s">
        <v>39</v>
      </c>
      <c r="E26" s="12" t="s">
        <v>37</v>
      </c>
      <c r="F26" s="10" t="s">
        <v>179</v>
      </c>
      <c r="G26" s="12" t="s">
        <v>37</v>
      </c>
      <c r="H26" s="10" t="s">
        <v>212</v>
      </c>
      <c r="I26" s="12" t="str">
        <f>IF(人工复核!F26="","",人工复核!F26)</f>
        <v>X</v>
      </c>
      <c r="J26" s="12" t="str">
        <f t="shared" si="0"/>
        <v>一致</v>
      </c>
      <c r="K26" s="10" t="s">
        <v>213</v>
      </c>
    </row>
  </sheetData>
  <conditionalFormatting sqref="J7:J26">
    <cfRule type="containsText" dxfId="0" priority="1" operator="between" text="不一致">
      <formula>NOT(ISERROR(SEARCH("不一致",J7)))</formula>
    </cfRule>
    <cfRule type="containsText" dxfId="1" priority="2" operator="between" text="一致">
      <formula>NOT(ISERROR(SEARCH("一致",J7)))</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6A6A6"/>
  </sheetPr>
  <dimension ref="A2:G26"/>
  <sheetViews>
    <sheetView showGridLines="0" workbookViewId="0">
      <pane xSplit="2" ySplit="6" topLeftCell="C7" activePane="bottomRight" state="frozen"/>
      <selection/>
      <selection pane="topRight"/>
      <selection pane="bottomLeft"/>
      <selection pane="bottomRight" activeCell="A1" sqref="A1"/>
    </sheetView>
  </sheetViews>
  <sheetFormatPr defaultColWidth="9" defaultRowHeight="14" outlineLevelCol="6"/>
  <cols>
    <col min="1" max="1" width="9" customWidth="1"/>
    <col min="2" max="2" width="10" customWidth="1"/>
    <col min="3" max="3" width="48" customWidth="1"/>
    <col min="4" max="4" width="82" customWidth="1"/>
    <col min="5" max="5" width="9" customWidth="1"/>
    <col min="6" max="6" width="8" customWidth="1"/>
    <col min="7" max="7" width="22" customWidth="1"/>
  </cols>
  <sheetData>
    <row r="2" ht="19" spans="1:7">
      <c r="A2" s="1" t="s">
        <v>214</v>
      </c>
    </row>
    <row r="3" spans="1:7">
      <c r="A3" s="2"/>
      <c r="B3" s="2"/>
      <c r="C3" s="2"/>
      <c r="D3" s="2"/>
      <c r="E3" s="2"/>
      <c r="F3" s="2"/>
      <c r="G3" s="2"/>
    </row>
    <row r="4" spans="1:7">
      <c r="A4" s="3" t="s">
        <v>215</v>
      </c>
      <c r="B4" s="3"/>
      <c r="C4" s="3"/>
      <c r="D4" s="3"/>
      <c r="E4" s="3"/>
      <c r="F4" s="3"/>
      <c r="G4" s="3"/>
    </row>
    <row r="6" spans="1:7">
      <c r="A6" s="4" t="s">
        <v>53</v>
      </c>
      <c r="B6" s="5" t="s">
        <v>55</v>
      </c>
      <c r="C6" s="5" t="s">
        <v>216</v>
      </c>
      <c r="D6" s="5" t="s">
        <v>217</v>
      </c>
      <c r="E6" s="5" t="s">
        <v>60</v>
      </c>
      <c r="F6" s="5" t="s">
        <v>61</v>
      </c>
      <c r="G6" s="6" t="s">
        <v>62</v>
      </c>
    </row>
    <row r="7" ht="96" customHeight="1" spans="1:7">
      <c r="A7" s="7" t="s">
        <v>63</v>
      </c>
      <c r="B7" s="7" t="s">
        <v>65</v>
      </c>
      <c r="C7" s="8" t="s">
        <v>218</v>
      </c>
      <c r="D7" s="8" t="s">
        <v>219</v>
      </c>
      <c r="E7" s="7" t="s">
        <v>68</v>
      </c>
      <c r="F7" s="7">
        <v>2020</v>
      </c>
      <c r="G7" s="7" t="s">
        <v>69</v>
      </c>
    </row>
    <row r="8" ht="96" customHeight="1" spans="1:7">
      <c r="A8" s="9" t="s">
        <v>70</v>
      </c>
      <c r="B8" s="9" t="s">
        <v>71</v>
      </c>
      <c r="C8" s="10" t="s">
        <v>220</v>
      </c>
      <c r="D8" s="10" t="s">
        <v>221</v>
      </c>
      <c r="E8" s="9" t="s">
        <v>68</v>
      </c>
      <c r="F8" s="9">
        <v>2025</v>
      </c>
      <c r="G8" s="9" t="s">
        <v>74</v>
      </c>
    </row>
    <row r="9" ht="96" customHeight="1" spans="1:7">
      <c r="A9" s="9" t="s">
        <v>75</v>
      </c>
      <c r="B9" s="9" t="s">
        <v>76</v>
      </c>
      <c r="C9" s="10" t="s">
        <v>222</v>
      </c>
      <c r="D9" s="10" t="s">
        <v>223</v>
      </c>
      <c r="E9" s="9" t="s">
        <v>68</v>
      </c>
      <c r="F9" s="9">
        <v>2025</v>
      </c>
      <c r="G9" s="9" t="s">
        <v>79</v>
      </c>
    </row>
    <row r="10" ht="96" customHeight="1" spans="1:7">
      <c r="A10" s="9" t="s">
        <v>80</v>
      </c>
      <c r="B10" s="9" t="s">
        <v>81</v>
      </c>
      <c r="C10" s="10" t="s">
        <v>224</v>
      </c>
      <c r="D10" s="10" t="s">
        <v>225</v>
      </c>
      <c r="E10" s="9" t="s">
        <v>84</v>
      </c>
      <c r="F10" s="9">
        <v>1974</v>
      </c>
      <c r="G10" s="9" t="s">
        <v>85</v>
      </c>
    </row>
    <row r="11" ht="96" customHeight="1" spans="1:7">
      <c r="A11" s="9" t="s">
        <v>86</v>
      </c>
      <c r="B11" s="9" t="s">
        <v>87</v>
      </c>
      <c r="C11" s="10" t="s">
        <v>226</v>
      </c>
      <c r="D11" s="10" t="s">
        <v>227</v>
      </c>
      <c r="E11" s="9" t="s">
        <v>90</v>
      </c>
      <c r="F11" s="9"/>
      <c r="G11" s="9" t="s">
        <v>91</v>
      </c>
    </row>
    <row r="12" ht="96" customHeight="1" spans="1:7">
      <c r="A12" s="9" t="s">
        <v>92</v>
      </c>
      <c r="B12" s="9" t="s">
        <v>93</v>
      </c>
      <c r="C12" s="10" t="s">
        <v>228</v>
      </c>
      <c r="D12" s="10" t="s">
        <v>229</v>
      </c>
      <c r="E12" s="9" t="s">
        <v>68</v>
      </c>
      <c r="F12" s="9">
        <v>1991</v>
      </c>
      <c r="G12" s="9" t="s">
        <v>97</v>
      </c>
    </row>
    <row r="13" ht="96" customHeight="1" spans="1:7">
      <c r="A13" s="9" t="s">
        <v>98</v>
      </c>
      <c r="B13" s="9" t="s">
        <v>99</v>
      </c>
      <c r="C13" s="10" t="s">
        <v>230</v>
      </c>
      <c r="D13" s="10" t="s">
        <v>231</v>
      </c>
      <c r="E13" s="9" t="s">
        <v>68</v>
      </c>
      <c r="F13" s="9">
        <v>2024</v>
      </c>
      <c r="G13" s="9" t="s">
        <v>102</v>
      </c>
    </row>
    <row r="14" ht="96" customHeight="1" spans="1:7">
      <c r="A14" s="9" t="s">
        <v>103</v>
      </c>
      <c r="B14" s="9" t="s">
        <v>104</v>
      </c>
      <c r="C14" s="10" t="s">
        <v>232</v>
      </c>
      <c r="D14" s="10" t="s">
        <v>229</v>
      </c>
      <c r="E14" s="9" t="s">
        <v>90</v>
      </c>
      <c r="F14" s="9">
        <v>2024</v>
      </c>
      <c r="G14" s="9" t="s">
        <v>106</v>
      </c>
    </row>
    <row r="15" ht="96" customHeight="1" spans="1:7">
      <c r="A15" s="9" t="s">
        <v>107</v>
      </c>
      <c r="B15" s="9" t="s">
        <v>108</v>
      </c>
      <c r="C15" s="10" t="s">
        <v>233</v>
      </c>
      <c r="D15" s="10" t="s">
        <v>234</v>
      </c>
      <c r="E15" s="9" t="s">
        <v>111</v>
      </c>
      <c r="F15" s="9">
        <v>2016</v>
      </c>
      <c r="G15" s="9" t="s">
        <v>112</v>
      </c>
    </row>
    <row r="16" ht="96" customHeight="1" spans="1:7">
      <c r="A16" s="9" t="s">
        <v>113</v>
      </c>
      <c r="B16" s="9" t="s">
        <v>114</v>
      </c>
      <c r="C16" s="10" t="s">
        <v>235</v>
      </c>
      <c r="D16" s="10" t="s">
        <v>236</v>
      </c>
      <c r="E16" s="9" t="s">
        <v>118</v>
      </c>
      <c r="F16" s="9">
        <v>1997</v>
      </c>
      <c r="G16" s="9" t="s">
        <v>119</v>
      </c>
    </row>
    <row r="17" ht="96" customHeight="1" spans="1:7">
      <c r="A17" s="9" t="s">
        <v>120</v>
      </c>
      <c r="B17" s="9" t="s">
        <v>121</v>
      </c>
      <c r="C17" s="10" t="s">
        <v>237</v>
      </c>
      <c r="D17" s="10" t="s">
        <v>238</v>
      </c>
      <c r="E17" s="9" t="s">
        <v>124</v>
      </c>
      <c r="F17" s="9">
        <v>2021</v>
      </c>
      <c r="G17" s="9" t="s">
        <v>125</v>
      </c>
    </row>
    <row r="18" ht="96" customHeight="1" spans="1:7">
      <c r="A18" s="9" t="s">
        <v>126</v>
      </c>
      <c r="B18" s="9" t="s">
        <v>127</v>
      </c>
      <c r="C18" s="10" t="s">
        <v>239</v>
      </c>
      <c r="D18" s="10" t="s">
        <v>240</v>
      </c>
      <c r="E18" s="9" t="s">
        <v>68</v>
      </c>
      <c r="F18" s="9">
        <v>2009</v>
      </c>
      <c r="G18" s="9" t="s">
        <v>130</v>
      </c>
    </row>
    <row r="19" ht="96" customHeight="1" spans="1:7">
      <c r="A19" s="9" t="s">
        <v>131</v>
      </c>
      <c r="B19" s="9" t="s">
        <v>132</v>
      </c>
      <c r="C19" s="10" t="s">
        <v>241</v>
      </c>
      <c r="D19" s="10" t="s">
        <v>242</v>
      </c>
      <c r="E19" s="9" t="s">
        <v>124</v>
      </c>
      <c r="F19" s="9">
        <v>2021</v>
      </c>
      <c r="G19" s="9" t="s">
        <v>135</v>
      </c>
    </row>
    <row r="20" ht="96" customHeight="1" spans="1:7">
      <c r="A20" s="9" t="s">
        <v>136</v>
      </c>
      <c r="B20" s="9" t="s">
        <v>137</v>
      </c>
      <c r="C20" s="10" t="s">
        <v>243</v>
      </c>
      <c r="D20" s="10" t="s">
        <v>229</v>
      </c>
      <c r="E20" s="9" t="s">
        <v>68</v>
      </c>
      <c r="F20" s="9">
        <v>1994</v>
      </c>
      <c r="G20" s="9" t="s">
        <v>140</v>
      </c>
    </row>
    <row r="21" ht="96" customHeight="1" spans="1:7">
      <c r="A21" s="9" t="s">
        <v>141</v>
      </c>
      <c r="B21" s="9" t="s">
        <v>142</v>
      </c>
      <c r="C21" s="10" t="s">
        <v>244</v>
      </c>
      <c r="D21" s="10" t="s">
        <v>245</v>
      </c>
      <c r="E21" s="9" t="s">
        <v>68</v>
      </c>
      <c r="F21" s="9">
        <v>2019</v>
      </c>
      <c r="G21" s="9" t="s">
        <v>145</v>
      </c>
    </row>
    <row r="22" ht="96" customHeight="1" spans="1:7">
      <c r="A22" s="9" t="s">
        <v>146</v>
      </c>
      <c r="B22" s="9" t="s">
        <v>147</v>
      </c>
      <c r="C22" s="10" t="s">
        <v>246</v>
      </c>
      <c r="D22" s="10" t="s">
        <v>247</v>
      </c>
      <c r="E22" s="9" t="s">
        <v>68</v>
      </c>
      <c r="F22" s="9">
        <v>1984</v>
      </c>
      <c r="G22" s="9" t="s">
        <v>150</v>
      </c>
    </row>
    <row r="23" ht="96" customHeight="1" spans="1:7">
      <c r="A23" s="9" t="s">
        <v>151</v>
      </c>
      <c r="B23" s="9" t="s">
        <v>152</v>
      </c>
      <c r="C23" s="10" t="s">
        <v>248</v>
      </c>
      <c r="D23" s="10" t="s">
        <v>249</v>
      </c>
      <c r="E23" s="9" t="s">
        <v>68</v>
      </c>
      <c r="F23" s="9">
        <v>1982</v>
      </c>
      <c r="G23" s="9" t="s">
        <v>155</v>
      </c>
    </row>
    <row r="24" ht="96" customHeight="1" spans="1:7">
      <c r="A24" s="9" t="s">
        <v>156</v>
      </c>
      <c r="B24" s="9" t="s">
        <v>157</v>
      </c>
      <c r="C24" s="10" t="s">
        <v>250</v>
      </c>
      <c r="D24" s="10" t="s">
        <v>251</v>
      </c>
      <c r="E24" s="9" t="s">
        <v>68</v>
      </c>
      <c r="F24" s="9">
        <v>2025</v>
      </c>
      <c r="G24" s="9" t="s">
        <v>161</v>
      </c>
    </row>
    <row r="25" ht="96" customHeight="1" spans="1:7">
      <c r="A25" s="9" t="s">
        <v>162</v>
      </c>
      <c r="B25" s="9" t="s">
        <v>163</v>
      </c>
      <c r="C25" s="10" t="s">
        <v>252</v>
      </c>
      <c r="D25" s="10" t="s">
        <v>253</v>
      </c>
      <c r="E25" s="9" t="s">
        <v>84</v>
      </c>
      <c r="F25" s="9">
        <v>2009</v>
      </c>
      <c r="G25" s="9" t="s">
        <v>166</v>
      </c>
    </row>
    <row r="26" ht="96" customHeight="1" spans="1:7">
      <c r="A26" s="9" t="s">
        <v>167</v>
      </c>
      <c r="B26" s="9" t="s">
        <v>168</v>
      </c>
      <c r="C26" s="10" t="s">
        <v>254</v>
      </c>
      <c r="D26" s="10" t="s">
        <v>255</v>
      </c>
      <c r="E26" s="9" t="s">
        <v>68</v>
      </c>
      <c r="F26" s="9">
        <v>2005</v>
      </c>
      <c r="G26" s="9" t="s">
        <v>171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说明与汇总</vt:lpstr>
      <vt:lpstr>人工复核</vt:lpstr>
      <vt:lpstr>自动对照</vt:lpstr>
      <vt:lpstr>英文原文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蔡雨琦</cp:lastModifiedBy>
  <dcterms:created xsi:type="dcterms:W3CDTF">2026-10-28T07:34:41Z</dcterms:created>
  <dcterms:modified xsi:type="dcterms:W3CDTF">2026-10-28T11:52:17Z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E4A513469DFA4748AEF9222446F9A0EC_12</vt:lpwstr>
  </property>
  <property fmtid="{D5CDD505-2E9C-101B-9397-08002B2CF9AE}" pid="3" name="KSOProductBuildVer">
    <vt:lpwstr>2052-12.1.0.29161</vt:lpwstr>
  </property>
  <property fmtid="{D5CDD505-2E9C-101B-9397-08002B2CF9AE}" pid="4" name="CalculationRule">
    <vt:i4>0</vt:i4>
  </property>
</Properties>
</file>